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itansu\Documents\"/>
    </mc:Choice>
  </mc:AlternateContent>
  <xr:revisionPtr revIDLastSave="0" documentId="8_{9D573F2F-E469-435B-B347-8E6868D8931E}" xr6:coauthVersionLast="47" xr6:coauthVersionMax="47" xr10:uidLastSave="{00000000-0000-0000-0000-000000000000}"/>
  <bookViews>
    <workbookView xWindow="28680" yWindow="-120" windowWidth="29040" windowHeight="15720" xr2:uid="{F9CE1F2E-5B5C-4BD7-A297-EFDA7DC0E27F}"/>
  </bookViews>
  <sheets>
    <sheet name="VM Analysis" sheetId="1" r:id="rId1"/>
  </sheets>
  <externalReferences>
    <externalReference r:id="rId2"/>
  </externalReferences>
  <definedNames>
    <definedName name="UPDATE">'[1]Data Sheet'!$E$1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384" i="1" l="1"/>
  <c r="N383" i="1"/>
  <c r="M383" i="1"/>
  <c r="L383" i="1"/>
  <c r="K383" i="1"/>
  <c r="J383" i="1"/>
  <c r="I383" i="1"/>
  <c r="H383" i="1"/>
  <c r="G383" i="1"/>
  <c r="F383" i="1"/>
  <c r="N382" i="1"/>
  <c r="M382" i="1"/>
  <c r="L382" i="1"/>
  <c r="K382" i="1"/>
  <c r="J382" i="1"/>
  <c r="I382" i="1"/>
  <c r="H382" i="1"/>
  <c r="G382" i="1"/>
  <c r="F382" i="1"/>
  <c r="E382" i="1"/>
  <c r="N381" i="1"/>
  <c r="M381" i="1"/>
  <c r="L381" i="1"/>
  <c r="K381" i="1"/>
  <c r="J381" i="1"/>
  <c r="I381" i="1"/>
  <c r="H381" i="1"/>
  <c r="G381" i="1"/>
  <c r="F381" i="1"/>
  <c r="E381" i="1"/>
  <c r="G379" i="1"/>
  <c r="I368" i="1" s="1"/>
  <c r="D379" i="1"/>
  <c r="I378" i="1"/>
  <c r="H378" i="1"/>
  <c r="G378" i="1"/>
  <c r="D378" i="1"/>
  <c r="H377" i="1"/>
  <c r="G377" i="1"/>
  <c r="I366" i="1" s="1"/>
  <c r="D377" i="1"/>
  <c r="H376" i="1"/>
  <c r="G376" i="1"/>
  <c r="D376" i="1"/>
  <c r="I375" i="1"/>
  <c r="H375" i="1"/>
  <c r="G375" i="1"/>
  <c r="D375" i="1"/>
  <c r="H374" i="1"/>
  <c r="G374" i="1"/>
  <c r="N385" i="1" s="1"/>
  <c r="N386" i="1" s="1"/>
  <c r="D374" i="1"/>
  <c r="I372" i="1"/>
  <c r="D372" i="1"/>
  <c r="I367" i="1"/>
  <c r="I364" i="1"/>
  <c r="I363" i="1"/>
  <c r="N351" i="1"/>
  <c r="O351" i="1" s="1"/>
  <c r="F340" i="1" s="1"/>
  <c r="M351" i="1"/>
  <c r="L351" i="1"/>
  <c r="K351" i="1"/>
  <c r="J351" i="1"/>
  <c r="I351" i="1"/>
  <c r="H351" i="1"/>
  <c r="G351" i="1"/>
  <c r="F351" i="1"/>
  <c r="E351" i="1"/>
  <c r="N350" i="1"/>
  <c r="M350" i="1"/>
  <c r="N349" i="1"/>
  <c r="M349" i="1"/>
  <c r="L349" i="1"/>
  <c r="K349" i="1"/>
  <c r="J349" i="1"/>
  <c r="I349" i="1"/>
  <c r="H349" i="1"/>
  <c r="G349" i="1"/>
  <c r="F349" i="1"/>
  <c r="E349" i="1"/>
  <c r="N348" i="1"/>
  <c r="M348" i="1"/>
  <c r="L348" i="1"/>
  <c r="K348" i="1"/>
  <c r="J348" i="1"/>
  <c r="I348" i="1"/>
  <c r="H348" i="1"/>
  <c r="G348" i="1"/>
  <c r="F348" i="1"/>
  <c r="E348" i="1"/>
  <c r="N347" i="1"/>
  <c r="M347" i="1"/>
  <c r="L347" i="1"/>
  <c r="L350" i="1" s="1"/>
  <c r="K347" i="1"/>
  <c r="K350" i="1" s="1"/>
  <c r="J347" i="1"/>
  <c r="I347" i="1"/>
  <c r="I350" i="1" s="1"/>
  <c r="H347" i="1"/>
  <c r="G347" i="1"/>
  <c r="F347" i="1"/>
  <c r="F350" i="1" s="1"/>
  <c r="E347" i="1"/>
  <c r="N346" i="1"/>
  <c r="M346" i="1"/>
  <c r="L346" i="1"/>
  <c r="K346" i="1"/>
  <c r="J346" i="1"/>
  <c r="I346" i="1"/>
  <c r="H346" i="1"/>
  <c r="G346" i="1"/>
  <c r="F346" i="1"/>
  <c r="E346" i="1"/>
  <c r="M330" i="1"/>
  <c r="L330" i="1"/>
  <c r="K330" i="1"/>
  <c r="J330" i="1"/>
  <c r="I330" i="1"/>
  <c r="H330" i="1"/>
  <c r="G330" i="1"/>
  <c r="F330" i="1"/>
  <c r="N329" i="1"/>
  <c r="M329" i="1"/>
  <c r="L329" i="1"/>
  <c r="K329" i="1"/>
  <c r="J329" i="1"/>
  <c r="I329" i="1"/>
  <c r="H329" i="1"/>
  <c r="G329" i="1"/>
  <c r="F329" i="1"/>
  <c r="E329" i="1"/>
  <c r="E330" i="1" s="1"/>
  <c r="N328" i="1"/>
  <c r="N330" i="1" s="1"/>
  <c r="M328" i="1"/>
  <c r="L328" i="1"/>
  <c r="K328" i="1"/>
  <c r="J328" i="1"/>
  <c r="I328" i="1"/>
  <c r="H328" i="1"/>
  <c r="G328" i="1"/>
  <c r="F328" i="1"/>
  <c r="E328" i="1"/>
  <c r="N327" i="1"/>
  <c r="M327" i="1"/>
  <c r="N326" i="1"/>
  <c r="M326" i="1"/>
  <c r="L326" i="1"/>
  <c r="L327" i="1" s="1"/>
  <c r="N331" i="1" s="1"/>
  <c r="F317" i="1" s="1"/>
  <c r="F319" i="1" s="1"/>
  <c r="K326" i="1"/>
  <c r="K327" i="1" s="1"/>
  <c r="M331" i="1" s="1"/>
  <c r="J326" i="1"/>
  <c r="J327" i="1" s="1"/>
  <c r="L331" i="1" s="1"/>
  <c r="I326" i="1"/>
  <c r="I327" i="1" s="1"/>
  <c r="K331" i="1" s="1"/>
  <c r="H326" i="1"/>
  <c r="G326" i="1"/>
  <c r="F326" i="1"/>
  <c r="E326" i="1"/>
  <c r="N325" i="1"/>
  <c r="M325" i="1"/>
  <c r="L325" i="1"/>
  <c r="K325" i="1"/>
  <c r="J325" i="1"/>
  <c r="I325" i="1"/>
  <c r="H325" i="1"/>
  <c r="N324" i="1"/>
  <c r="M324" i="1"/>
  <c r="L324" i="1"/>
  <c r="K324" i="1"/>
  <c r="J324" i="1"/>
  <c r="I324" i="1"/>
  <c r="H324" i="1"/>
  <c r="H327" i="1" s="1"/>
  <c r="G324" i="1"/>
  <c r="G327" i="1" s="1"/>
  <c r="F324" i="1"/>
  <c r="F327" i="1" s="1"/>
  <c r="E324" i="1"/>
  <c r="E327" i="1" s="1"/>
  <c r="N323" i="1"/>
  <c r="M323" i="1"/>
  <c r="L323" i="1"/>
  <c r="K323" i="1"/>
  <c r="J323" i="1"/>
  <c r="I323" i="1"/>
  <c r="H323" i="1"/>
  <c r="G323" i="1"/>
  <c r="G325" i="1" s="1"/>
  <c r="F323" i="1"/>
  <c r="E323" i="1"/>
  <c r="N322" i="1"/>
  <c r="M322" i="1"/>
  <c r="L322" i="1"/>
  <c r="K322" i="1"/>
  <c r="J322" i="1"/>
  <c r="I322" i="1"/>
  <c r="H322" i="1"/>
  <c r="G322" i="1"/>
  <c r="F322" i="1"/>
  <c r="E322" i="1"/>
  <c r="N321" i="1"/>
  <c r="M321" i="1"/>
  <c r="L321" i="1"/>
  <c r="K321" i="1"/>
  <c r="J321" i="1"/>
  <c r="I321" i="1"/>
  <c r="H321" i="1"/>
  <c r="G321" i="1"/>
  <c r="F321" i="1"/>
  <c r="E321" i="1"/>
  <c r="F318" i="1"/>
  <c r="K278" i="1"/>
  <c r="J278" i="1"/>
  <c r="I278" i="1"/>
  <c r="H278" i="1"/>
  <c r="G278" i="1"/>
  <c r="F278" i="1"/>
  <c r="K277" i="1"/>
  <c r="J277" i="1"/>
  <c r="I277" i="1"/>
  <c r="H277" i="1"/>
  <c r="G277" i="1"/>
  <c r="F277" i="1"/>
  <c r="N276" i="1"/>
  <c r="M276" i="1"/>
  <c r="L276" i="1"/>
  <c r="K276" i="1"/>
  <c r="J276" i="1"/>
  <c r="I276" i="1"/>
  <c r="H276" i="1"/>
  <c r="G276" i="1"/>
  <c r="F276" i="1"/>
  <c r="E276" i="1"/>
  <c r="E278" i="1" s="1"/>
  <c r="B276" i="1"/>
  <c r="N275" i="1"/>
  <c r="M275" i="1"/>
  <c r="L275" i="1"/>
  <c r="K275" i="1"/>
  <c r="J275" i="1"/>
  <c r="I275" i="1"/>
  <c r="H275" i="1"/>
  <c r="G275" i="1"/>
  <c r="F275" i="1"/>
  <c r="E275" i="1"/>
  <c r="B275" i="1"/>
  <c r="N274" i="1"/>
  <c r="M274" i="1"/>
  <c r="L274" i="1"/>
  <c r="K274" i="1"/>
  <c r="J274" i="1"/>
  <c r="I274" i="1"/>
  <c r="H274" i="1"/>
  <c r="G274" i="1"/>
  <c r="F274" i="1"/>
  <c r="E274" i="1"/>
  <c r="N237" i="1"/>
  <c r="M237" i="1"/>
  <c r="L237" i="1"/>
  <c r="K237" i="1"/>
  <c r="J237" i="1"/>
  <c r="H231" i="1" s="1"/>
  <c r="I237" i="1"/>
  <c r="H237" i="1"/>
  <c r="G237" i="1"/>
  <c r="F237" i="1"/>
  <c r="E237" i="1"/>
  <c r="G231" i="1" s="1"/>
  <c r="N236" i="1"/>
  <c r="M236" i="1"/>
  <c r="L236" i="1"/>
  <c r="K236" i="1"/>
  <c r="J236" i="1"/>
  <c r="I236" i="1"/>
  <c r="H236" i="1"/>
  <c r="G236" i="1"/>
  <c r="F236" i="1"/>
  <c r="E236" i="1"/>
  <c r="N235" i="1"/>
  <c r="M235" i="1"/>
  <c r="L235" i="1"/>
  <c r="K235" i="1"/>
  <c r="J235" i="1"/>
  <c r="I235" i="1"/>
  <c r="H235" i="1"/>
  <c r="G235" i="1"/>
  <c r="F235" i="1"/>
  <c r="E235" i="1"/>
  <c r="I231" i="1"/>
  <c r="F218" i="1"/>
  <c r="E218" i="1"/>
  <c r="H217" i="1"/>
  <c r="G217" i="1"/>
  <c r="G218" i="1" s="1"/>
  <c r="F217" i="1"/>
  <c r="E217" i="1"/>
  <c r="H215" i="1"/>
  <c r="G215" i="1"/>
  <c r="G216" i="1" s="1"/>
  <c r="F215" i="1"/>
  <c r="F216" i="1" s="1"/>
  <c r="E215" i="1"/>
  <c r="E216" i="1" s="1"/>
  <c r="B215" i="1"/>
  <c r="H214" i="1"/>
  <c r="G214" i="1"/>
  <c r="F214" i="1"/>
  <c r="E214" i="1"/>
  <c r="H213" i="1"/>
  <c r="G213" i="1"/>
  <c r="F213" i="1"/>
  <c r="E213" i="1"/>
  <c r="J187" i="1"/>
  <c r="I187" i="1"/>
  <c r="H187" i="1"/>
  <c r="G187" i="1"/>
  <c r="F187" i="1"/>
  <c r="E187" i="1"/>
  <c r="I186" i="1"/>
  <c r="H186" i="1"/>
  <c r="G186" i="1"/>
  <c r="F186" i="1"/>
  <c r="E186" i="1"/>
  <c r="N185" i="1"/>
  <c r="N186" i="1" s="1"/>
  <c r="M185" i="1"/>
  <c r="L185" i="1"/>
  <c r="K185" i="1"/>
  <c r="J185" i="1"/>
  <c r="I185" i="1"/>
  <c r="H185" i="1"/>
  <c r="G185" i="1"/>
  <c r="F185" i="1"/>
  <c r="E185" i="1"/>
  <c r="N184" i="1"/>
  <c r="M184" i="1"/>
  <c r="M187" i="1" s="1"/>
  <c r="L184" i="1"/>
  <c r="K184" i="1"/>
  <c r="J184" i="1"/>
  <c r="J186" i="1" s="1"/>
  <c r="I184" i="1"/>
  <c r="H184" i="1"/>
  <c r="G184" i="1"/>
  <c r="F184" i="1"/>
  <c r="E184" i="1"/>
  <c r="B184" i="1"/>
  <c r="N183" i="1"/>
  <c r="M183" i="1"/>
  <c r="L183" i="1"/>
  <c r="K183" i="1"/>
  <c r="J183" i="1"/>
  <c r="I183" i="1"/>
  <c r="H183" i="1"/>
  <c r="G183" i="1"/>
  <c r="F183" i="1"/>
  <c r="E183" i="1"/>
  <c r="F181" i="1"/>
  <c r="F180" i="1"/>
  <c r="I180" i="1" s="1"/>
  <c r="I179" i="1"/>
  <c r="F179" i="1"/>
  <c r="F178" i="1"/>
  <c r="I178" i="1" s="1"/>
  <c r="N169" i="1"/>
  <c r="M169" i="1"/>
  <c r="L169" i="1"/>
  <c r="K169" i="1"/>
  <c r="J169" i="1"/>
  <c r="I169" i="1"/>
  <c r="H169" i="1"/>
  <c r="G169" i="1"/>
  <c r="F169" i="1"/>
  <c r="E169" i="1"/>
  <c r="B169" i="1"/>
  <c r="N168" i="1"/>
  <c r="M168" i="1"/>
  <c r="L168" i="1"/>
  <c r="K168" i="1"/>
  <c r="J168" i="1"/>
  <c r="I168" i="1"/>
  <c r="H168" i="1"/>
  <c r="G168" i="1"/>
  <c r="F168" i="1"/>
  <c r="E168" i="1"/>
  <c r="G166" i="1"/>
  <c r="F166" i="1"/>
  <c r="E166" i="1"/>
  <c r="G165" i="1"/>
  <c r="F165" i="1"/>
  <c r="E165" i="1"/>
  <c r="N156" i="1"/>
  <c r="M156" i="1"/>
  <c r="N155" i="1"/>
  <c r="M155" i="1"/>
  <c r="L155" i="1"/>
  <c r="K155" i="1"/>
  <c r="J155" i="1"/>
  <c r="N154" i="1"/>
  <c r="M154" i="1"/>
  <c r="L154" i="1"/>
  <c r="K154" i="1"/>
  <c r="J154" i="1"/>
  <c r="I154" i="1"/>
  <c r="H154" i="1"/>
  <c r="G154" i="1"/>
  <c r="F154" i="1"/>
  <c r="E154" i="1"/>
  <c r="N153" i="1"/>
  <c r="M153" i="1"/>
  <c r="L153" i="1"/>
  <c r="L156" i="1" s="1"/>
  <c r="K153" i="1"/>
  <c r="J153" i="1"/>
  <c r="J156" i="1" s="1"/>
  <c r="I153" i="1"/>
  <c r="H153" i="1"/>
  <c r="G153" i="1"/>
  <c r="F153" i="1"/>
  <c r="E153" i="1"/>
  <c r="N152" i="1"/>
  <c r="M152" i="1"/>
  <c r="L152" i="1"/>
  <c r="K152" i="1"/>
  <c r="J152" i="1"/>
  <c r="I152" i="1"/>
  <c r="H152" i="1"/>
  <c r="G152" i="1"/>
  <c r="F152" i="1"/>
  <c r="E152" i="1"/>
  <c r="N143" i="1"/>
  <c r="N142" i="1"/>
  <c r="M142" i="1"/>
  <c r="L142" i="1"/>
  <c r="K142" i="1"/>
  <c r="N141" i="1"/>
  <c r="M141" i="1"/>
  <c r="L141" i="1"/>
  <c r="K141" i="1"/>
  <c r="J141" i="1"/>
  <c r="I141" i="1"/>
  <c r="H141" i="1"/>
  <c r="G141" i="1"/>
  <c r="F141" i="1"/>
  <c r="E141" i="1"/>
  <c r="N140" i="1"/>
  <c r="M140" i="1"/>
  <c r="M143" i="1" s="1"/>
  <c r="L140" i="1"/>
  <c r="L143" i="1" s="1"/>
  <c r="K140" i="1"/>
  <c r="J140" i="1"/>
  <c r="J142" i="1" s="1"/>
  <c r="I140" i="1"/>
  <c r="H140" i="1"/>
  <c r="G140" i="1"/>
  <c r="F140" i="1"/>
  <c r="E140" i="1"/>
  <c r="N139" i="1"/>
  <c r="M139" i="1"/>
  <c r="L139" i="1"/>
  <c r="K139" i="1"/>
  <c r="J139" i="1"/>
  <c r="I139" i="1"/>
  <c r="H139" i="1"/>
  <c r="G139" i="1"/>
  <c r="F139" i="1"/>
  <c r="E139" i="1"/>
  <c r="I130" i="1"/>
  <c r="H130" i="1"/>
  <c r="G130" i="1"/>
  <c r="F130" i="1"/>
  <c r="N129" i="1"/>
  <c r="M129" i="1"/>
  <c r="L129" i="1"/>
  <c r="K129" i="1"/>
  <c r="J129" i="1"/>
  <c r="I129" i="1"/>
  <c r="H129" i="1"/>
  <c r="G129" i="1"/>
  <c r="F129" i="1"/>
  <c r="E129" i="1"/>
  <c r="N128" i="1"/>
  <c r="M128" i="1"/>
  <c r="L128" i="1"/>
  <c r="L130" i="1" s="1"/>
  <c r="K128" i="1"/>
  <c r="K130" i="1" s="1"/>
  <c r="J128" i="1"/>
  <c r="J130" i="1" s="1"/>
  <c r="I128" i="1"/>
  <c r="H128" i="1"/>
  <c r="G128" i="1"/>
  <c r="F128" i="1"/>
  <c r="E128" i="1"/>
  <c r="N127" i="1"/>
  <c r="M127" i="1"/>
  <c r="L127" i="1"/>
  <c r="K127" i="1"/>
  <c r="J127" i="1"/>
  <c r="I127" i="1"/>
  <c r="H127" i="1"/>
  <c r="G127" i="1"/>
  <c r="F127" i="1"/>
  <c r="E127" i="1"/>
  <c r="N118" i="1"/>
  <c r="M118" i="1"/>
  <c r="L118" i="1"/>
  <c r="K118" i="1"/>
  <c r="J118" i="1"/>
  <c r="I118" i="1"/>
  <c r="H118" i="1"/>
  <c r="G118" i="1"/>
  <c r="N117" i="1"/>
  <c r="M117" i="1"/>
  <c r="L117" i="1"/>
  <c r="K117" i="1"/>
  <c r="J117" i="1"/>
  <c r="I117" i="1"/>
  <c r="H117" i="1"/>
  <c r="G117" i="1"/>
  <c r="F117" i="1"/>
  <c r="E117" i="1"/>
  <c r="B117" i="1"/>
  <c r="N116" i="1"/>
  <c r="M116" i="1"/>
  <c r="L116" i="1"/>
  <c r="K116" i="1"/>
  <c r="J116" i="1"/>
  <c r="I116" i="1"/>
  <c r="H116" i="1"/>
  <c r="G116" i="1"/>
  <c r="F116" i="1"/>
  <c r="E116" i="1"/>
  <c r="B116" i="1"/>
  <c r="N115" i="1"/>
  <c r="M115" i="1"/>
  <c r="L115" i="1"/>
  <c r="K115" i="1"/>
  <c r="J115" i="1"/>
  <c r="I115" i="1"/>
  <c r="H115" i="1"/>
  <c r="G115" i="1"/>
  <c r="F115" i="1"/>
  <c r="E115" i="1"/>
  <c r="G113" i="1"/>
  <c r="F113" i="1"/>
  <c r="E113" i="1"/>
  <c r="G112" i="1"/>
  <c r="F112" i="1"/>
  <c r="E112" i="1"/>
  <c r="M102" i="1"/>
  <c r="L102" i="1"/>
  <c r="K102" i="1"/>
  <c r="J102" i="1"/>
  <c r="I102" i="1"/>
  <c r="H102" i="1"/>
  <c r="N101" i="1"/>
  <c r="M101" i="1"/>
  <c r="L101" i="1"/>
  <c r="K101" i="1"/>
  <c r="J101" i="1"/>
  <c r="I101" i="1"/>
  <c r="H101" i="1"/>
  <c r="G101" i="1"/>
  <c r="N100" i="1"/>
  <c r="M100" i="1"/>
  <c r="L100" i="1"/>
  <c r="K100" i="1"/>
  <c r="J100" i="1"/>
  <c r="I100" i="1"/>
  <c r="H100" i="1"/>
  <c r="G100" i="1"/>
  <c r="F100" i="1"/>
  <c r="F101" i="1" s="1"/>
  <c r="E100" i="1"/>
  <c r="B100" i="1"/>
  <c r="N99" i="1"/>
  <c r="M99" i="1"/>
  <c r="L99" i="1"/>
  <c r="K99" i="1"/>
  <c r="J99" i="1"/>
  <c r="I99" i="1"/>
  <c r="H99" i="1"/>
  <c r="G99" i="1"/>
  <c r="F99" i="1"/>
  <c r="E99" i="1"/>
  <c r="E101" i="1" s="1"/>
  <c r="B99" i="1"/>
  <c r="N98" i="1"/>
  <c r="N102" i="1" s="1"/>
  <c r="M98" i="1"/>
  <c r="L98" i="1"/>
  <c r="K98" i="1"/>
  <c r="J98" i="1"/>
  <c r="I98" i="1"/>
  <c r="H98" i="1"/>
  <c r="G98" i="1"/>
  <c r="G102" i="1" s="1"/>
  <c r="F98" i="1"/>
  <c r="E98" i="1"/>
  <c r="B98" i="1"/>
  <c r="N97" i="1"/>
  <c r="M97" i="1"/>
  <c r="L97" i="1"/>
  <c r="K97" i="1"/>
  <c r="J97" i="1"/>
  <c r="I97" i="1"/>
  <c r="H97" i="1"/>
  <c r="G97" i="1"/>
  <c r="F97" i="1"/>
  <c r="E97" i="1"/>
  <c r="H94" i="1"/>
  <c r="G94" i="1"/>
  <c r="F94" i="1"/>
  <c r="H93" i="1"/>
  <c r="G93" i="1"/>
  <c r="F93" i="1"/>
  <c r="O84" i="1"/>
  <c r="N84" i="1"/>
  <c r="M84" i="1"/>
  <c r="L84" i="1"/>
  <c r="K84" i="1"/>
  <c r="J84" i="1"/>
  <c r="I84" i="1"/>
  <c r="H84" i="1"/>
  <c r="G84" i="1"/>
  <c r="F84" i="1"/>
  <c r="E84" i="1"/>
  <c r="B84" i="1"/>
  <c r="O83" i="1"/>
  <c r="N83" i="1"/>
  <c r="M83" i="1"/>
  <c r="L83" i="1"/>
  <c r="K83" i="1"/>
  <c r="J83" i="1"/>
  <c r="I83" i="1"/>
  <c r="H83" i="1"/>
  <c r="G83" i="1"/>
  <c r="F83" i="1"/>
  <c r="E83" i="1"/>
  <c r="B83" i="1"/>
  <c r="O82" i="1"/>
  <c r="N82" i="1"/>
  <c r="M82" i="1"/>
  <c r="L82" i="1"/>
  <c r="K82" i="1"/>
  <c r="J82" i="1"/>
  <c r="I82" i="1"/>
  <c r="H82" i="1"/>
  <c r="G82" i="1"/>
  <c r="F82" i="1"/>
  <c r="E82" i="1"/>
  <c r="B82" i="1"/>
  <c r="N81" i="1"/>
  <c r="M81" i="1"/>
  <c r="L81" i="1"/>
  <c r="K81" i="1"/>
  <c r="J81" i="1"/>
  <c r="I81" i="1"/>
  <c r="H81" i="1"/>
  <c r="G81" i="1"/>
  <c r="F81" i="1"/>
  <c r="E81" i="1"/>
  <c r="G79" i="1"/>
  <c r="F79" i="1"/>
  <c r="E79" i="1"/>
  <c r="G78" i="1"/>
  <c r="F78" i="1"/>
  <c r="E78" i="1"/>
  <c r="O69" i="1"/>
  <c r="N69" i="1"/>
  <c r="M69" i="1"/>
  <c r="L69" i="1"/>
  <c r="K69" i="1"/>
  <c r="J69" i="1"/>
  <c r="I69" i="1"/>
  <c r="H69" i="1"/>
  <c r="G69" i="1"/>
  <c r="F69" i="1"/>
  <c r="E69" i="1"/>
  <c r="B69" i="1"/>
  <c r="O68" i="1"/>
  <c r="N68" i="1"/>
  <c r="M68" i="1"/>
  <c r="L68" i="1"/>
  <c r="K68" i="1"/>
  <c r="J68" i="1"/>
  <c r="I68" i="1"/>
  <c r="H68" i="1"/>
  <c r="G68" i="1"/>
  <c r="F68" i="1"/>
  <c r="E68" i="1"/>
  <c r="B68" i="1"/>
  <c r="O67" i="1"/>
  <c r="N67" i="1"/>
  <c r="M67" i="1"/>
  <c r="L67" i="1"/>
  <c r="K67" i="1"/>
  <c r="J67" i="1"/>
  <c r="I67" i="1"/>
  <c r="H67" i="1"/>
  <c r="G67" i="1"/>
  <c r="F67" i="1"/>
  <c r="E67" i="1"/>
  <c r="B67" i="1"/>
  <c r="N66" i="1"/>
  <c r="M66" i="1"/>
  <c r="L66" i="1"/>
  <c r="K66" i="1"/>
  <c r="J66" i="1"/>
  <c r="I66" i="1"/>
  <c r="H66" i="1"/>
  <c r="G66" i="1"/>
  <c r="F66" i="1"/>
  <c r="E66" i="1"/>
  <c r="G64" i="1"/>
  <c r="F64" i="1"/>
  <c r="E64" i="1"/>
  <c r="G63" i="1"/>
  <c r="F63" i="1"/>
  <c r="E63" i="1"/>
  <c r="N54" i="1"/>
  <c r="M54" i="1"/>
  <c r="L54" i="1"/>
  <c r="K54" i="1"/>
  <c r="J54" i="1"/>
  <c r="I54" i="1"/>
  <c r="H54" i="1"/>
  <c r="G54" i="1"/>
  <c r="F54" i="1"/>
  <c r="E54" i="1"/>
  <c r="B54" i="1"/>
  <c r="O53" i="1"/>
  <c r="N53" i="1"/>
  <c r="M53" i="1"/>
  <c r="L53" i="1"/>
  <c r="K53" i="1"/>
  <c r="J53" i="1"/>
  <c r="I53" i="1"/>
  <c r="H53" i="1"/>
  <c r="G53" i="1"/>
  <c r="F53" i="1"/>
  <c r="E53" i="1"/>
  <c r="B53" i="1"/>
  <c r="N52" i="1"/>
  <c r="M52" i="1"/>
  <c r="L52" i="1"/>
  <c r="K52" i="1"/>
  <c r="J52" i="1"/>
  <c r="I52" i="1"/>
  <c r="H52" i="1"/>
  <c r="G52" i="1"/>
  <c r="F52" i="1"/>
  <c r="E52" i="1"/>
  <c r="B52" i="1"/>
  <c r="O51" i="1"/>
  <c r="N51" i="1"/>
  <c r="M51" i="1"/>
  <c r="L51" i="1"/>
  <c r="K51" i="1"/>
  <c r="J51" i="1"/>
  <c r="I51" i="1"/>
  <c r="H51" i="1"/>
  <c r="G51" i="1"/>
  <c r="F51" i="1"/>
  <c r="E51" i="1"/>
  <c r="B51" i="1"/>
  <c r="O50" i="1"/>
  <c r="N50" i="1"/>
  <c r="M50" i="1"/>
  <c r="L50" i="1"/>
  <c r="K50" i="1"/>
  <c r="J50" i="1"/>
  <c r="I50" i="1"/>
  <c r="H50" i="1"/>
  <c r="G50" i="1"/>
  <c r="F50" i="1"/>
  <c r="E50" i="1"/>
  <c r="B50" i="1"/>
  <c r="O49" i="1"/>
  <c r="N49" i="1"/>
  <c r="M49" i="1"/>
  <c r="L49" i="1"/>
  <c r="K49" i="1"/>
  <c r="J49" i="1"/>
  <c r="I49" i="1"/>
  <c r="H49" i="1"/>
  <c r="G49" i="1"/>
  <c r="F49" i="1"/>
  <c r="E49" i="1"/>
  <c r="O47" i="1"/>
  <c r="N47" i="1"/>
  <c r="M47" i="1"/>
  <c r="L47" i="1"/>
  <c r="K47" i="1"/>
  <c r="J47" i="1"/>
  <c r="I47" i="1"/>
  <c r="H47" i="1"/>
  <c r="G47" i="1"/>
  <c r="F47" i="1"/>
  <c r="E47" i="1"/>
  <c r="O46" i="1"/>
  <c r="N46" i="1"/>
  <c r="M46" i="1"/>
  <c r="L46" i="1"/>
  <c r="K46" i="1"/>
  <c r="J46" i="1"/>
  <c r="I46" i="1"/>
  <c r="H46" i="1"/>
  <c r="G46" i="1"/>
  <c r="F46" i="1"/>
  <c r="E46" i="1"/>
  <c r="O45" i="1"/>
  <c r="N45" i="1"/>
  <c r="M45" i="1"/>
  <c r="L45" i="1"/>
  <c r="K45" i="1"/>
  <c r="J45" i="1"/>
  <c r="I45" i="1"/>
  <c r="H45" i="1"/>
  <c r="G45" i="1"/>
  <c r="F45" i="1"/>
  <c r="E45" i="1"/>
  <c r="B45" i="1"/>
  <c r="O44" i="1"/>
  <c r="N44" i="1"/>
  <c r="M44" i="1"/>
  <c r="L44" i="1"/>
  <c r="K44" i="1"/>
  <c r="J44" i="1"/>
  <c r="I44" i="1"/>
  <c r="H44" i="1"/>
  <c r="G44" i="1"/>
  <c r="F44" i="1"/>
  <c r="E44" i="1"/>
  <c r="B44" i="1"/>
  <c r="O43" i="1"/>
  <c r="N43" i="1"/>
  <c r="M43" i="1"/>
  <c r="L43" i="1"/>
  <c r="K43" i="1"/>
  <c r="J43" i="1"/>
  <c r="I43" i="1"/>
  <c r="H43" i="1"/>
  <c r="G43" i="1"/>
  <c r="F43" i="1"/>
  <c r="E43" i="1"/>
  <c r="B43" i="1"/>
  <c r="N42" i="1"/>
  <c r="M42" i="1"/>
  <c r="L42" i="1"/>
  <c r="K42" i="1"/>
  <c r="J42" i="1"/>
  <c r="I42" i="1"/>
  <c r="H42" i="1"/>
  <c r="G42" i="1"/>
  <c r="F42" i="1"/>
  <c r="E42" i="1"/>
  <c r="O39" i="1"/>
  <c r="G39" i="1"/>
  <c r="B39" i="1"/>
  <c r="O38" i="1"/>
  <c r="G38" i="1"/>
  <c r="B38" i="1"/>
  <c r="O37" i="1"/>
  <c r="G37" i="1"/>
  <c r="F37" i="1"/>
  <c r="E37" i="1"/>
  <c r="B37" i="1"/>
  <c r="O36" i="1"/>
  <c r="G36" i="1"/>
  <c r="F36" i="1"/>
  <c r="E36" i="1"/>
  <c r="B36" i="1"/>
  <c r="O35" i="1"/>
  <c r="N35" i="1"/>
  <c r="M35" i="1"/>
  <c r="G35" i="1"/>
  <c r="F35" i="1"/>
  <c r="E35" i="1"/>
  <c r="O34" i="1"/>
  <c r="N34" i="1"/>
  <c r="M34" i="1"/>
  <c r="O33" i="1"/>
  <c r="N33" i="1"/>
  <c r="M33" i="1"/>
  <c r="G33" i="1"/>
  <c r="F33" i="1"/>
  <c r="E33" i="1"/>
  <c r="O32" i="1"/>
  <c r="N32" i="1"/>
  <c r="M32" i="1"/>
  <c r="G31" i="1"/>
  <c r="O31" i="1" s="1"/>
  <c r="F31" i="1"/>
  <c r="N31" i="1" s="1"/>
  <c r="E31" i="1"/>
  <c r="M31" i="1" s="1"/>
  <c r="A26" i="1"/>
  <c r="A57" i="1" s="1"/>
  <c r="A72" i="1" s="1"/>
  <c r="A87" i="1" s="1"/>
  <c r="A105" i="1" s="1"/>
  <c r="A121" i="1" s="1"/>
  <c r="A133" i="1" s="1"/>
  <c r="A146" i="1" s="1"/>
  <c r="A159" i="1" s="1"/>
  <c r="A172" i="1" s="1"/>
  <c r="A190" i="1" s="1"/>
  <c r="A200" i="1" s="1"/>
  <c r="A206" i="1" s="1"/>
  <c r="A221" i="1" s="1"/>
  <c r="A240" i="1" s="1"/>
  <c r="A247" i="1" s="1"/>
  <c r="A253" i="1" s="1"/>
  <c r="A261" i="1" s="1"/>
  <c r="A267" i="1" s="1"/>
  <c r="A281" i="1" s="1"/>
  <c r="A286" i="1" s="1"/>
  <c r="A291" i="1" s="1"/>
  <c r="A296" i="1" s="1"/>
  <c r="A301" i="1" s="1"/>
  <c r="A311" i="1" s="1"/>
  <c r="A334" i="1" s="1"/>
  <c r="A354" i="1" s="1"/>
  <c r="A363" i="1" s="1"/>
  <c r="A364" i="1" s="1"/>
  <c r="A365" i="1" s="1"/>
  <c r="A366" i="1" s="1"/>
  <c r="A367" i="1" s="1"/>
  <c r="A368" i="1" s="1"/>
  <c r="O22" i="1"/>
  <c r="N22" i="1"/>
  <c r="M22" i="1"/>
  <c r="L22" i="1"/>
  <c r="K22" i="1"/>
  <c r="J22" i="1"/>
  <c r="I22" i="1"/>
  <c r="H22" i="1"/>
  <c r="G22" i="1"/>
  <c r="F22" i="1"/>
  <c r="E22" i="1"/>
  <c r="B22" i="1"/>
  <c r="O21" i="1"/>
  <c r="N21" i="1"/>
  <c r="M21" i="1"/>
  <c r="L21" i="1"/>
  <c r="K21" i="1"/>
  <c r="J21" i="1"/>
  <c r="I21" i="1"/>
  <c r="H21" i="1"/>
  <c r="G21" i="1"/>
  <c r="F21" i="1"/>
  <c r="E21" i="1"/>
  <c r="O19" i="1"/>
  <c r="N19" i="1"/>
  <c r="M19" i="1"/>
  <c r="L19" i="1"/>
  <c r="K19" i="1"/>
  <c r="J19" i="1"/>
  <c r="I19" i="1"/>
  <c r="H19" i="1"/>
  <c r="G19" i="1"/>
  <c r="F19" i="1"/>
  <c r="E19" i="1"/>
  <c r="B19" i="1"/>
  <c r="N18" i="1"/>
  <c r="M18" i="1"/>
  <c r="L18" i="1"/>
  <c r="K18" i="1"/>
  <c r="J18" i="1"/>
  <c r="I18" i="1"/>
  <c r="H18" i="1"/>
  <c r="G18" i="1"/>
  <c r="F18" i="1"/>
  <c r="E18" i="1"/>
  <c r="O16" i="1"/>
  <c r="O15" i="1"/>
  <c r="O14" i="1"/>
  <c r="H14" i="1"/>
  <c r="G14" i="1"/>
  <c r="F14" i="1"/>
  <c r="E14" i="1"/>
  <c r="O13" i="1"/>
  <c r="N13" i="1"/>
  <c r="H13" i="1"/>
  <c r="G13" i="1"/>
  <c r="F13" i="1"/>
  <c r="E13" i="1"/>
  <c r="O12" i="1"/>
  <c r="N12" i="1"/>
  <c r="H12" i="1"/>
  <c r="G12" i="1"/>
  <c r="F12" i="1"/>
  <c r="E12" i="1"/>
  <c r="H11" i="1"/>
  <c r="O11" i="1" s="1"/>
  <c r="G11" i="1"/>
  <c r="N11" i="1" s="1"/>
  <c r="F11" i="1"/>
  <c r="E11" i="1"/>
  <c r="P3" i="1"/>
  <c r="O3" i="1"/>
  <c r="Q3" i="1" s="1"/>
  <c r="L3" i="1"/>
  <c r="K3" i="1"/>
  <c r="M3" i="1" s="1"/>
  <c r="H3" i="1"/>
  <c r="G3" i="1"/>
  <c r="I3" i="1" s="1"/>
  <c r="A3" i="1"/>
  <c r="F343" i="1" l="1"/>
  <c r="H343" i="1" s="1"/>
  <c r="H340" i="1"/>
  <c r="F102" i="1"/>
  <c r="L186" i="1"/>
  <c r="L187" i="1"/>
  <c r="M130" i="1"/>
  <c r="E118" i="1"/>
  <c r="N130" i="1"/>
  <c r="N187" i="1"/>
  <c r="F118" i="1"/>
  <c r="I379" i="1"/>
  <c r="F142" i="1"/>
  <c r="F143" i="1"/>
  <c r="F155" i="1"/>
  <c r="F156" i="1"/>
  <c r="M186" i="1"/>
  <c r="H216" i="1"/>
  <c r="L277" i="1"/>
  <c r="L278" i="1"/>
  <c r="M277" i="1"/>
  <c r="M278" i="1"/>
  <c r="I365" i="1"/>
  <c r="I376" i="1"/>
  <c r="G142" i="1"/>
  <c r="G143" i="1"/>
  <c r="G155" i="1"/>
  <c r="G156" i="1"/>
  <c r="N277" i="1"/>
  <c r="N278" i="1"/>
  <c r="H331" i="1"/>
  <c r="H142" i="1"/>
  <c r="H143" i="1"/>
  <c r="H155" i="1"/>
  <c r="H156" i="1"/>
  <c r="G179" i="1"/>
  <c r="I331" i="1"/>
  <c r="G350" i="1"/>
  <c r="I142" i="1"/>
  <c r="I143" i="1"/>
  <c r="I155" i="1"/>
  <c r="F325" i="1"/>
  <c r="J331" i="1"/>
  <c r="H350" i="1"/>
  <c r="O185" i="1"/>
  <c r="H218" i="1"/>
  <c r="E102" i="1"/>
  <c r="K143" i="1"/>
  <c r="K156" i="1"/>
  <c r="K186" i="1"/>
  <c r="K187" i="1"/>
  <c r="G178" i="1"/>
  <c r="O184" i="1"/>
  <c r="I230" i="1"/>
  <c r="H230" i="1"/>
  <c r="G230" i="1"/>
  <c r="J350" i="1"/>
  <c r="J143" i="1"/>
  <c r="I156" i="1"/>
  <c r="I374" i="1"/>
  <c r="I377" i="1"/>
  <c r="G181" i="1" l="1"/>
  <c r="G180" i="1"/>
  <c r="I181" i="1" s="1"/>
  <c r="G233" i="1"/>
  <c r="G232" i="1"/>
  <c r="H233" i="1"/>
  <c r="H232" i="1"/>
  <c r="I233" i="1"/>
  <c r="I232" i="1"/>
  <c r="O186" i="1"/>
  <c r="O187" i="1"/>
  <c r="O350" i="1"/>
  <c r="F341" i="1" s="1"/>
  <c r="F342" i="1" s="1"/>
  <c r="H342" i="1" l="1"/>
  <c r="F344" i="1"/>
</calcChain>
</file>

<file path=xl/sharedStrings.xml><?xml version="1.0" encoding="utf-8"?>
<sst xmlns="http://schemas.openxmlformats.org/spreadsheetml/2006/main" count="325" uniqueCount="237">
  <si>
    <t>Shri Sai</t>
  </si>
  <si>
    <t>Quality</t>
  </si>
  <si>
    <t>Valuation</t>
  </si>
  <si>
    <t>Combined</t>
  </si>
  <si>
    <t>Actual</t>
  </si>
  <si>
    <t>Max</t>
  </si>
  <si>
    <t>No.</t>
  </si>
  <si>
    <t>Parameter</t>
  </si>
  <si>
    <t>Criteria</t>
  </si>
  <si>
    <t>Score</t>
  </si>
  <si>
    <t>Comments</t>
  </si>
  <si>
    <t>Sales Growth</t>
  </si>
  <si>
    <t>CAGR &gt; 15% over 7 to 10 Yrs</t>
  </si>
  <si>
    <t>a</t>
  </si>
  <si>
    <t>Sales Growth (CAGR)</t>
  </si>
  <si>
    <t>c</t>
  </si>
  <si>
    <t>Growth Consistency</t>
  </si>
  <si>
    <t>No. of Yrs Sales Rose YOY</t>
  </si>
  <si>
    <t>b</t>
  </si>
  <si>
    <t>Last 4Q's YoY Growth</t>
  </si>
  <si>
    <t>d</t>
  </si>
  <si>
    <t>Last 4 Q Growth Consistency</t>
  </si>
  <si>
    <t>No. of Qtrs Sales Rose YOY</t>
  </si>
  <si>
    <t>e</t>
  </si>
  <si>
    <t>Annual Sales</t>
  </si>
  <si>
    <t>TTM</t>
  </si>
  <si>
    <t>f</t>
  </si>
  <si>
    <t>Qtrly Sales</t>
  </si>
  <si>
    <t>Profitability</t>
  </si>
  <si>
    <t>NPM &gt;=8%</t>
  </si>
  <si>
    <t xml:space="preserve">No. of Yrs PAT Margin </t>
  </si>
  <si>
    <t>Ops Prof Grwth Consistency</t>
  </si>
  <si>
    <t>&gt;= 8%</t>
  </si>
  <si>
    <t>No. of Yrs Op Prof Rose YOY</t>
  </si>
  <si>
    <t>g</t>
  </si>
  <si>
    <t>Net Prof Grwth Consistency</t>
  </si>
  <si>
    <t>&gt;=8%</t>
  </si>
  <si>
    <t>No. of Yrs Net Prof Rose YOY</t>
  </si>
  <si>
    <t>h</t>
  </si>
  <si>
    <t>TTM Ops Prof Grwth Consistency</t>
  </si>
  <si>
    <t>No. of Qtrs Op Prof Rose YOY</t>
  </si>
  <si>
    <t>i</t>
  </si>
  <si>
    <t>TTM Net Prof Grwth Consistency</t>
  </si>
  <si>
    <t>No. of Qtrs Net Prof Rose YOY</t>
  </si>
  <si>
    <t>Operating &amp; Net Profits</t>
  </si>
  <si>
    <t>Net Profit</t>
  </si>
  <si>
    <t>NPM (%)</t>
  </si>
  <si>
    <t>Last 4 Q Operating &amp; Net Profits</t>
  </si>
  <si>
    <t>Tax Payout Ratio</t>
  </si>
  <si>
    <t>&gt;=30%</t>
  </si>
  <si>
    <t>10 Yrs</t>
  </si>
  <si>
    <t>3 Yrs</t>
  </si>
  <si>
    <t>Tax Payout Ratio &gt;=30%</t>
  </si>
  <si>
    <t>No. of Yrs Tax Ratio &gt;=30%</t>
  </si>
  <si>
    <t>Interest Coverage Ratio</t>
  </si>
  <si>
    <t>&gt;=3</t>
  </si>
  <si>
    <t>% Yrs Int. coverage ratio &gt;=3</t>
  </si>
  <si>
    <t>No. of Yrs Int. coverage ratio &gt;=3</t>
  </si>
  <si>
    <t>Debt  to  Equity  Ratio</t>
  </si>
  <si>
    <t>&lt;=0.5</t>
  </si>
  <si>
    <t>1 Yr</t>
  </si>
  <si>
    <t>% Yrs Debt to Equity Ratio &lt;=0.5</t>
  </si>
  <si>
    <t>No. of Yrs Debt to Equity Ratio &lt;=0.5</t>
  </si>
  <si>
    <t>Debt to Equity Ratio</t>
  </si>
  <si>
    <t>Total Equity</t>
  </si>
  <si>
    <t>Debt to Equity</t>
  </si>
  <si>
    <t>Current Ratio</t>
  </si>
  <si>
    <t>&gt;=1.25</t>
  </si>
  <si>
    <t>% Yrs Curr Ratio &gt;=1.25</t>
  </si>
  <si>
    <t>No. of Yrs Curr Ratio &gt;=1.25</t>
  </si>
  <si>
    <t>Net Fixed Assets Turnover</t>
  </si>
  <si>
    <t>Standalone Ratio Higher the better</t>
  </si>
  <si>
    <t>Ratio (Higher the Better)</t>
  </si>
  <si>
    <t>Rising Trend is very healthy</t>
  </si>
  <si>
    <t xml:space="preserve">Net Fixed Assets Turnover </t>
  </si>
  <si>
    <t>Net Sales</t>
  </si>
  <si>
    <t>Net Fixed Assets</t>
  </si>
  <si>
    <t>Inventory Turnover Ratio</t>
  </si>
  <si>
    <t>(Higher the Better)</t>
  </si>
  <si>
    <t xml:space="preserve">Inventory Turnover </t>
  </si>
  <si>
    <t>Inventory</t>
  </si>
  <si>
    <t>Inventory Turnover Ratio (High is good)</t>
  </si>
  <si>
    <t>Inventory Turnover Days (Low is good)</t>
  </si>
  <si>
    <t>Debtors Turnover Ratio</t>
  </si>
  <si>
    <t xml:space="preserve">Debtors Turnover </t>
  </si>
  <si>
    <t>Debtors</t>
  </si>
  <si>
    <t>Debtors Turnover Ratio (High is good)</t>
  </si>
  <si>
    <t>Debtors Turnover Days (Low is good)</t>
  </si>
  <si>
    <t>Cash Flow from Operations &gt; 0</t>
  </si>
  <si>
    <t>&gt;0</t>
  </si>
  <si>
    <t>% of Yrs Cash Flow from Ops &gt; 0</t>
  </si>
  <si>
    <t>No. of Yrs Cash Flow from Ops &gt; 0</t>
  </si>
  <si>
    <t>Cash Flow from Operations</t>
  </si>
  <si>
    <t>Cumu CFO Vs Cumu PAT</t>
  </si>
  <si>
    <t>Cumu CFO ~ Cumu PAT</t>
  </si>
  <si>
    <t>5 Yrs</t>
  </si>
  <si>
    <t>Cumu Cash Flow from Ops</t>
  </si>
  <si>
    <t>Cumu PAT</t>
  </si>
  <si>
    <t>Hyperlink</t>
  </si>
  <si>
    <t>Diff [a (-) b] - Must be Positive</t>
  </si>
  <si>
    <t>Financials SJ</t>
  </si>
  <si>
    <t>CFO as % of Cum PAT</t>
  </si>
  <si>
    <t>Cumu CFO Vs Cumu Profit</t>
  </si>
  <si>
    <t>Cumu CF</t>
  </si>
  <si>
    <t>CFO &gt; PAT</t>
  </si>
  <si>
    <t>CFO as % of PAT</t>
  </si>
  <si>
    <t>Comparison with Industry Peers</t>
  </si>
  <si>
    <t>NA</t>
  </si>
  <si>
    <t xml:space="preserve">Dig Deep </t>
  </si>
  <si>
    <t>Profit Growth</t>
  </si>
  <si>
    <t>Operating Profit Margins</t>
  </si>
  <si>
    <t>Net Profit Margins</t>
  </si>
  <si>
    <t>Sales Turnover (Rupee Terms)</t>
  </si>
  <si>
    <t>PAT (Rupee Terms)</t>
  </si>
  <si>
    <t>Check Screener.in for Peers and Compare them on the above parameters</t>
  </si>
  <si>
    <t>Production Capacity with Sales</t>
  </si>
  <si>
    <t>Production Capacity CAGR ~</t>
  </si>
  <si>
    <t>Volume</t>
  </si>
  <si>
    <t>Sales CAGR</t>
  </si>
  <si>
    <t xml:space="preserve">Annual reports / Concalls / Company Announcements are good sources to check on </t>
  </si>
  <si>
    <t>the Production Capacity stats</t>
  </si>
  <si>
    <t>Conversion of Sales to Profits</t>
  </si>
  <si>
    <t>Profit CAGR ~ Sales CAGR</t>
  </si>
  <si>
    <t>Sales &amp; Profit Stats</t>
  </si>
  <si>
    <t>Net Prof CAGR &gt; Sales CAGR</t>
  </si>
  <si>
    <t>Ops Prof CAGR</t>
  </si>
  <si>
    <t>Ops Prof CAGR &gt; Sales CAGR</t>
  </si>
  <si>
    <t>Creating Shareholder Value</t>
  </si>
  <si>
    <t>Increase in Mkt Cap over 10 Yrs</t>
  </si>
  <si>
    <t>based on Retained Profits</t>
  </si>
  <si>
    <t>Vs Retained Profits in 10 Yrs</t>
  </si>
  <si>
    <t>9 Yrs</t>
  </si>
  <si>
    <t>Total Retained Profits in 10Yrs</t>
  </si>
  <si>
    <t>Rise in Mkt Cap for every 1 Rs of Retained Profits</t>
  </si>
  <si>
    <t>Increase in Mkt Cap &gt; Total Retained Profits</t>
  </si>
  <si>
    <t>Mkt Cap &amp; Retianed Profits</t>
  </si>
  <si>
    <t>Mkt Cap</t>
  </si>
  <si>
    <t>Retained Profits</t>
  </si>
  <si>
    <t>Background Check of</t>
  </si>
  <si>
    <t>Web Search with keywords like</t>
  </si>
  <si>
    <t>Promoters &amp; Directors</t>
  </si>
  <si>
    <t>Fraud / Penalty / Sebi Fine</t>
  </si>
  <si>
    <t>Management Succession Plan</t>
  </si>
  <si>
    <t>Reading Annual Reports /</t>
  </si>
  <si>
    <t>Concall Transcripts</t>
  </si>
  <si>
    <t>Promoters Salary Vs Net Profits</t>
  </si>
  <si>
    <t>1. Within the ceiling of 10% of PAT</t>
  </si>
  <si>
    <t>2. No increase in salary with declining</t>
  </si>
  <si>
    <t>PAT</t>
  </si>
  <si>
    <t>Project Execution Skills</t>
  </si>
  <si>
    <t>Greenfield / Brownfield expansion</t>
  </si>
  <si>
    <t>Dividend CAGR</t>
  </si>
  <si>
    <t>1. Div CAGR &gt; 0</t>
  </si>
  <si>
    <t>2. Rise in Div with Rising PAT Only</t>
  </si>
  <si>
    <t>PAT &amp; Dividends</t>
  </si>
  <si>
    <t>Rise in Div only when Rise in PAT</t>
  </si>
  <si>
    <t>Div Payout Ratio</t>
  </si>
  <si>
    <t>Promoter Holding</t>
  </si>
  <si>
    <t>&gt;51% (Higher the better)</t>
  </si>
  <si>
    <t>(Check Screener.in)</t>
  </si>
  <si>
    <t>Promoter Buying Shares</t>
  </si>
  <si>
    <t>Insider Buying++</t>
  </si>
  <si>
    <t xml:space="preserve">(Check Screener.in / BSE </t>
  </si>
  <si>
    <t>Announcement)</t>
  </si>
  <si>
    <t>FII Shareholding</t>
  </si>
  <si>
    <t>~ 0% Lower the Better</t>
  </si>
  <si>
    <t>Product Diversification</t>
  </si>
  <si>
    <t>Pure Play better</t>
  </si>
  <si>
    <t xml:space="preserve">(Check Segmentwise </t>
  </si>
  <si>
    <t>Revenue Statements)</t>
  </si>
  <si>
    <t>Govt Influence</t>
  </si>
  <si>
    <t xml:space="preserve">No Cap on Profit Returns </t>
  </si>
  <si>
    <t>No Cap on Product Pricing</t>
  </si>
  <si>
    <t>No sector dependent on Govt Subsidy</t>
  </si>
  <si>
    <t>No compulsion to supply to certain Clients</t>
  </si>
  <si>
    <t xml:space="preserve">(Answer the abovequestions - if </t>
  </si>
  <si>
    <t>the answer is yes - avoid the stock )</t>
  </si>
  <si>
    <t>Margin of Safety in</t>
  </si>
  <si>
    <t>SSGR &gt; 10 Yr Sales growth</t>
  </si>
  <si>
    <t>Business Model</t>
  </si>
  <si>
    <t xml:space="preserve"> </t>
  </si>
  <si>
    <t>Curr. SSGR</t>
  </si>
  <si>
    <t>10 Yr Sales Growth</t>
  </si>
  <si>
    <t>Curr SSGR &gt; 10 Yr Sales Growth</t>
  </si>
  <si>
    <t>SSGR</t>
  </si>
  <si>
    <t>Net Profit Margin</t>
  </si>
  <si>
    <t>Sales</t>
  </si>
  <si>
    <t>Net Block</t>
  </si>
  <si>
    <t>Depreciation</t>
  </si>
  <si>
    <t>Depn as % of Net Fixed Assets</t>
  </si>
  <si>
    <t>Dividend</t>
  </si>
  <si>
    <t>Dividend Payout % of PAT</t>
  </si>
  <si>
    <t>FCF / CFO &gt; 0</t>
  </si>
  <si>
    <t>10 Yr Cumulative CFO</t>
  </si>
  <si>
    <t>10 Yr Cumulative Capex</t>
  </si>
  <si>
    <t>Free Cash Flow [Cumu CFO (-) Cum Capex]</t>
  </si>
  <si>
    <t>FCF as % of CFO</t>
  </si>
  <si>
    <t>Free Cash Flow &amp; CFO</t>
  </si>
  <si>
    <t>Total</t>
  </si>
  <si>
    <t>Capital WIP</t>
  </si>
  <si>
    <t>Depn</t>
  </si>
  <si>
    <t>Capex</t>
  </si>
  <si>
    <t>CFO</t>
  </si>
  <si>
    <t xml:space="preserve">Credit Rating &amp; </t>
  </si>
  <si>
    <t>1. Curr Credit Rating should be</t>
  </si>
  <si>
    <t>Improvement in Credit Rating</t>
  </si>
  <si>
    <t>BBB- or above</t>
  </si>
  <si>
    <t>2. Whether there is any improvement</t>
  </si>
  <si>
    <t>in Credit Rating</t>
  </si>
  <si>
    <t xml:space="preserve">Refer to the Credit Rating Websites </t>
  </si>
  <si>
    <t>PE Ratio</t>
  </si>
  <si>
    <t>&lt; 10</t>
  </si>
  <si>
    <t>Price to Book Ratio</t>
  </si>
  <si>
    <t>&lt; 1</t>
  </si>
  <si>
    <t>PEG Ratio</t>
  </si>
  <si>
    <t>Earnings Yield</t>
  </si>
  <si>
    <t>&gt;= 10 Yr G-Sec Yield</t>
  </si>
  <si>
    <t>Price to Sales Ratio</t>
  </si>
  <si>
    <t>&lt; 1.5</t>
  </si>
  <si>
    <t>Div Yield</t>
  </si>
  <si>
    <t>&gt; 0</t>
  </si>
  <si>
    <t>CMP</t>
  </si>
  <si>
    <t>Curr Mkt Cap (Rs Crores)</t>
  </si>
  <si>
    <t>Curr Stats</t>
  </si>
  <si>
    <t>Curr.</t>
  </si>
  <si>
    <t>Bench</t>
  </si>
  <si>
    <t>TTM EPS</t>
  </si>
  <si>
    <t>TTM Book Value</t>
  </si>
  <si>
    <t>3 Yr Avg PAT Growth</t>
  </si>
  <si>
    <t>10 Yr G-Sec</t>
  </si>
  <si>
    <t>TTM Sales</t>
  </si>
  <si>
    <t>Price to Sales</t>
  </si>
  <si>
    <t>Div Per Share (Last Yr)</t>
  </si>
  <si>
    <t>&gt; 0%</t>
  </si>
  <si>
    <t>YoY Growth</t>
  </si>
  <si>
    <t>3 Yrs Avg PAT Growth %</t>
  </si>
  <si>
    <t>Curr PE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</si>
</sst>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[$-409]mmm/yy;@"/>
    <numFmt numFmtId="165" formatCode="_ * #,##0_ ;_ * \-#,##0_ ;_ * &quot;-&quot;??_ ;_ @_ "/>
    <numFmt numFmtId="166" formatCode="_ * #,##0.0_ ;_ * \-#,##0.0_ ;_ * &quot;-&quot;??_ ;_ @_ "/>
    <numFmt numFmtId="167" formatCode="#,##0.0"/>
    <numFmt numFmtId="168" formatCode="0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FF0000"/>
      <name val="Verdana"/>
      <family val="2"/>
    </font>
    <font>
      <sz val="10"/>
      <color theme="1"/>
      <name val="Verdana"/>
      <family val="2"/>
    </font>
    <font>
      <b/>
      <sz val="10"/>
      <color rgb="FFFF0000"/>
      <name val="Verdana"/>
      <family val="2"/>
    </font>
    <font>
      <sz val="12"/>
      <color theme="0" tint="-0.249977111117893"/>
      <name val="Verdana"/>
      <family val="2"/>
    </font>
    <font>
      <b/>
      <sz val="10"/>
      <color theme="0"/>
      <name val="Verdana"/>
      <family val="2"/>
    </font>
    <font>
      <b/>
      <sz val="10"/>
      <color rgb="FF0033CC"/>
      <name val="Verdana"/>
      <family val="2"/>
    </font>
    <font>
      <sz val="10"/>
      <color rgb="FF0033CC"/>
      <name val="Verdana"/>
      <family val="2"/>
    </font>
    <font>
      <b/>
      <u/>
      <sz val="10"/>
      <color theme="0"/>
      <name val="Verdana"/>
      <family val="2"/>
    </font>
    <font>
      <sz val="10"/>
      <color theme="0"/>
      <name val="Verdana"/>
      <family val="2"/>
    </font>
    <font>
      <b/>
      <u/>
      <sz val="10"/>
      <name val="Verdana"/>
      <family val="2"/>
    </font>
    <font>
      <b/>
      <i/>
      <sz val="10"/>
      <color theme="1"/>
      <name val="Verdana"/>
      <family val="2"/>
    </font>
    <font>
      <sz val="10"/>
      <name val="Verdana"/>
      <family val="2"/>
    </font>
    <font>
      <sz val="11"/>
      <color theme="1"/>
      <name val="Verdana"/>
      <family val="2"/>
    </font>
    <font>
      <b/>
      <i/>
      <sz val="10"/>
      <name val="Verdana"/>
      <family val="2"/>
    </font>
    <font>
      <b/>
      <sz val="11"/>
      <color rgb="FF0033CC"/>
      <name val="Verdana"/>
      <family val="2"/>
    </font>
    <font>
      <b/>
      <sz val="11"/>
      <color theme="1" tint="0.34998626667073579"/>
      <name val="Verdana"/>
      <family val="2"/>
    </font>
    <font>
      <b/>
      <sz val="10"/>
      <color theme="1"/>
      <name val="Verdana"/>
      <family val="2"/>
    </font>
    <font>
      <b/>
      <sz val="11"/>
      <color theme="1"/>
      <name val="Verdana"/>
      <family val="2"/>
    </font>
    <font>
      <b/>
      <sz val="10"/>
      <color theme="1" tint="0.499984740745262"/>
      <name val="Verdana"/>
      <family val="2"/>
    </font>
    <font>
      <i/>
      <sz val="10"/>
      <color theme="1"/>
      <name val="Verdana"/>
      <family val="2"/>
    </font>
    <font>
      <sz val="10"/>
      <color theme="0" tint="-0.34998626667073579"/>
      <name val="Verdana"/>
      <family val="2"/>
    </font>
    <font>
      <u/>
      <sz val="11"/>
      <color theme="10"/>
      <name val="Calibri"/>
      <family val="2"/>
    </font>
    <font>
      <u/>
      <sz val="18"/>
      <color theme="10"/>
      <name val="Calibri"/>
      <family val="2"/>
    </font>
    <font>
      <b/>
      <u/>
      <sz val="10"/>
      <color theme="1"/>
      <name val="Verdana"/>
      <family val="2"/>
    </font>
    <font>
      <sz val="11"/>
      <name val="Verdana"/>
      <family val="2"/>
    </font>
    <font>
      <b/>
      <sz val="10"/>
      <color rgb="FF0070C0"/>
      <name val="Verdana"/>
      <family val="2"/>
    </font>
    <font>
      <b/>
      <sz val="11"/>
      <color rgb="FF0070C0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E5FFFF"/>
        <bgColor indexed="64"/>
      </patternFill>
    </fill>
    <fill>
      <patternFill patternType="solid">
        <fgColor theme="1" tint="0.34998626667073579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3" fillId="0" borderId="0" applyNumberFormat="0" applyFill="0" applyBorder="0" applyAlignment="0" applyProtection="0">
      <alignment vertical="top"/>
      <protection locked="0"/>
    </xf>
  </cellStyleXfs>
  <cellXfs count="145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2" fontId="5" fillId="2" borderId="0" xfId="0" applyNumberFormat="1" applyFont="1" applyFill="1" applyAlignment="1">
      <alignment horizontal="center" shrinkToFit="1"/>
    </xf>
    <xf numFmtId="9" fontId="5" fillId="2" borderId="0" xfId="2" applyFont="1" applyFill="1" applyAlignment="1">
      <alignment horizontal="center" shrinkToFit="1"/>
    </xf>
    <xf numFmtId="0" fontId="6" fillId="3" borderId="0" xfId="0" applyFont="1" applyFill="1"/>
    <xf numFmtId="9" fontId="6" fillId="3" borderId="0" xfId="0" applyNumberFormat="1" applyFont="1" applyFill="1" applyAlignment="1">
      <alignment horizontal="center"/>
    </xf>
    <xf numFmtId="9" fontId="6" fillId="3" borderId="0" xfId="0" applyNumberFormat="1" applyFont="1" applyFill="1" applyAlignment="1">
      <alignment horizontal="left"/>
    </xf>
    <xf numFmtId="0" fontId="6" fillId="3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7" fillId="4" borderId="0" xfId="0" applyFont="1" applyFill="1"/>
    <xf numFmtId="9" fontId="7" fillId="4" borderId="0" xfId="0" applyNumberFormat="1" applyFont="1" applyFill="1" applyAlignment="1">
      <alignment horizontal="center"/>
    </xf>
    <xf numFmtId="0" fontId="8" fillId="4" borderId="0" xfId="0" applyFont="1" applyFill="1"/>
    <xf numFmtId="0" fontId="9" fillId="3" borderId="0" xfId="0" applyFont="1" applyFill="1"/>
    <xf numFmtId="0" fontId="10" fillId="3" borderId="0" xfId="0" applyFont="1" applyFill="1"/>
    <xf numFmtId="0" fontId="7" fillId="0" borderId="0" xfId="0" applyFont="1"/>
    <xf numFmtId="0" fontId="11" fillId="0" borderId="0" xfId="0" applyFont="1"/>
    <xf numFmtId="0" fontId="12" fillId="0" borderId="0" xfId="0" applyFont="1" applyAlignment="1">
      <alignment horizontal="right"/>
    </xf>
    <xf numFmtId="0" fontId="13" fillId="0" borderId="0" xfId="0" applyFont="1" applyAlignment="1">
      <alignment horizontal="center"/>
    </xf>
    <xf numFmtId="9" fontId="14" fillId="0" borderId="0" xfId="0" applyNumberFormat="1" applyFont="1" applyAlignment="1">
      <alignment horizontal="right"/>
    </xf>
    <xf numFmtId="164" fontId="15" fillId="0" borderId="0" xfId="0" applyNumberFormat="1" applyFont="1" applyAlignment="1">
      <alignment horizontal="right"/>
    </xf>
    <xf numFmtId="0" fontId="14" fillId="0" borderId="0" xfId="0" applyFont="1"/>
    <xf numFmtId="0" fontId="16" fillId="0" borderId="0" xfId="0" applyFont="1"/>
    <xf numFmtId="0" fontId="7" fillId="0" borderId="0" xfId="0" applyFont="1" applyAlignment="1">
      <alignment horizontal="center"/>
    </xf>
    <xf numFmtId="0" fontId="8" fillId="0" borderId="0" xfId="0" applyFont="1"/>
    <xf numFmtId="164" fontId="6" fillId="5" borderId="0" xfId="0" applyNumberFormat="1" applyFont="1" applyFill="1"/>
    <xf numFmtId="164" fontId="6" fillId="5" borderId="0" xfId="0" applyNumberFormat="1" applyFont="1" applyFill="1" applyAlignment="1">
      <alignment horizontal="right"/>
    </xf>
    <xf numFmtId="164" fontId="6" fillId="5" borderId="0" xfId="0" applyNumberFormat="1" applyFont="1" applyFill="1" applyAlignment="1">
      <alignment horizontal="center"/>
    </xf>
    <xf numFmtId="43" fontId="3" fillId="0" borderId="0" xfId="0" applyNumberFormat="1" applyFont="1"/>
    <xf numFmtId="165" fontId="14" fillId="0" borderId="0" xfId="1" applyNumberFormat="1" applyFont="1" applyFill="1" applyBorder="1" applyAlignment="1">
      <alignment horizontal="right" shrinkToFit="1"/>
    </xf>
    <xf numFmtId="165" fontId="14" fillId="0" borderId="0" xfId="1" applyNumberFormat="1" applyFont="1" applyFill="1" applyBorder="1" applyAlignment="1">
      <alignment horizontal="center" shrinkToFit="1"/>
    </xf>
    <xf numFmtId="0" fontId="3" fillId="0" borderId="0" xfId="0" applyFont="1" applyAlignment="1">
      <alignment shrinkToFit="1"/>
    </xf>
    <xf numFmtId="0" fontId="3" fillId="0" borderId="0" xfId="0" applyFont="1" applyAlignment="1">
      <alignment horizontal="center" shrinkToFit="1"/>
    </xf>
    <xf numFmtId="164" fontId="6" fillId="5" borderId="0" xfId="0" applyNumberFormat="1" applyFont="1" applyFill="1" applyAlignment="1">
      <alignment horizontal="right" shrinkToFit="1"/>
    </xf>
    <xf numFmtId="164" fontId="6" fillId="5" borderId="0" xfId="0" applyNumberFormat="1" applyFont="1" applyFill="1" applyAlignment="1">
      <alignment horizontal="center" shrinkToFit="1"/>
    </xf>
    <xf numFmtId="165" fontId="17" fillId="0" borderId="0" xfId="1" applyNumberFormat="1" applyFont="1" applyFill="1" applyBorder="1" applyAlignment="1">
      <alignment horizontal="right" shrinkToFit="1"/>
    </xf>
    <xf numFmtId="9" fontId="17" fillId="0" borderId="0" xfId="2" applyFont="1" applyFill="1" applyBorder="1" applyAlignment="1">
      <alignment horizontal="right" shrinkToFit="1"/>
    </xf>
    <xf numFmtId="0" fontId="7" fillId="0" borderId="0" xfId="0" applyFont="1" applyAlignment="1">
      <alignment shrinkToFit="1"/>
    </xf>
    <xf numFmtId="0" fontId="7" fillId="0" borderId="0" xfId="0" applyFont="1" applyAlignment="1">
      <alignment horizontal="center" shrinkToFit="1"/>
    </xf>
    <xf numFmtId="0" fontId="3" fillId="3" borderId="0" xfId="0" applyFont="1" applyFill="1"/>
    <xf numFmtId="0" fontId="3" fillId="3" borderId="0" xfId="0" applyFont="1" applyFill="1" applyAlignment="1">
      <alignment horizontal="center"/>
    </xf>
    <xf numFmtId="0" fontId="3" fillId="4" borderId="0" xfId="0" applyFont="1" applyFill="1"/>
    <xf numFmtId="0" fontId="18" fillId="0" borderId="0" xfId="0" applyFont="1" applyAlignment="1">
      <alignment horizontal="center"/>
    </xf>
    <xf numFmtId="0" fontId="18" fillId="0" borderId="0" xfId="0" applyFont="1"/>
    <xf numFmtId="165" fontId="14" fillId="0" borderId="0" xfId="1" applyNumberFormat="1" applyFont="1" applyFill="1"/>
    <xf numFmtId="9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65" fontId="3" fillId="0" borderId="0" xfId="1" applyNumberFormat="1" applyFont="1" applyFill="1" applyBorder="1" applyAlignment="1">
      <alignment horizontal="right" shrinkToFit="1"/>
    </xf>
    <xf numFmtId="165" fontId="3" fillId="0" borderId="0" xfId="1" applyNumberFormat="1" applyFont="1" applyFill="1" applyBorder="1" applyAlignment="1">
      <alignment horizontal="center" shrinkToFit="1"/>
    </xf>
    <xf numFmtId="165" fontId="3" fillId="0" borderId="0" xfId="1" applyNumberFormat="1" applyFont="1" applyFill="1" applyAlignment="1">
      <alignment shrinkToFit="1"/>
    </xf>
    <xf numFmtId="165" fontId="3" fillId="0" borderId="0" xfId="1" applyNumberFormat="1" applyFont="1" applyFill="1" applyAlignment="1">
      <alignment horizontal="center" shrinkToFit="1"/>
    </xf>
    <xf numFmtId="43" fontId="18" fillId="0" borderId="0" xfId="0" applyNumberFormat="1" applyFont="1"/>
    <xf numFmtId="9" fontId="19" fillId="0" borderId="0" xfId="0" applyNumberFormat="1" applyFont="1" applyAlignment="1">
      <alignment horizontal="right" shrinkToFit="1"/>
    </xf>
    <xf numFmtId="9" fontId="19" fillId="0" borderId="0" xfId="0" applyNumberFormat="1" applyFont="1" applyAlignment="1">
      <alignment horizontal="center" shrinkToFit="1"/>
    </xf>
    <xf numFmtId="43" fontId="18" fillId="0" borderId="0" xfId="0" applyNumberFormat="1" applyFont="1" applyAlignment="1">
      <alignment horizontal="center"/>
    </xf>
    <xf numFmtId="165" fontId="3" fillId="0" borderId="0" xfId="1" applyNumberFormat="1" applyFont="1" applyFill="1" applyBorder="1" applyAlignment="1">
      <alignment horizontal="right"/>
    </xf>
    <xf numFmtId="165" fontId="3" fillId="0" borderId="0" xfId="1" applyNumberFormat="1" applyFont="1" applyFill="1" applyBorder="1" applyAlignment="1">
      <alignment horizontal="center"/>
    </xf>
    <xf numFmtId="165" fontId="20" fillId="0" borderId="0" xfId="1" applyNumberFormat="1" applyFont="1" applyFill="1" applyBorder="1" applyAlignment="1">
      <alignment horizontal="right"/>
    </xf>
    <xf numFmtId="9" fontId="20" fillId="0" borderId="0" xfId="2" applyFont="1" applyFill="1" applyBorder="1" applyAlignment="1">
      <alignment horizontal="right"/>
    </xf>
    <xf numFmtId="165" fontId="3" fillId="0" borderId="0" xfId="1" applyNumberFormat="1" applyFont="1" applyFill="1"/>
    <xf numFmtId="165" fontId="3" fillId="0" borderId="0" xfId="1" applyNumberFormat="1" applyFont="1" applyFill="1" applyAlignment="1">
      <alignment horizontal="center"/>
    </xf>
    <xf numFmtId="9" fontId="19" fillId="0" borderId="0" xfId="0" applyNumberFormat="1" applyFont="1" applyAlignment="1">
      <alignment horizontal="right"/>
    </xf>
    <xf numFmtId="9" fontId="19" fillId="0" borderId="0" xfId="0" applyNumberFormat="1" applyFont="1" applyAlignment="1">
      <alignment horizontal="center"/>
    </xf>
    <xf numFmtId="0" fontId="21" fillId="0" borderId="0" xfId="0" applyFont="1" applyAlignment="1">
      <alignment horizontal="right"/>
    </xf>
    <xf numFmtId="0" fontId="6" fillId="5" borderId="0" xfId="0" applyFont="1" applyFill="1"/>
    <xf numFmtId="0" fontId="10" fillId="5" borderId="0" xfId="0" applyFont="1" applyFill="1"/>
    <xf numFmtId="0" fontId="3" fillId="0" borderId="0" xfId="0" applyFont="1" applyAlignment="1">
      <alignment horizontal="left" indent="1"/>
    </xf>
    <xf numFmtId="3" fontId="3" fillId="0" borderId="0" xfId="0" applyNumberFormat="1" applyFont="1"/>
    <xf numFmtId="3" fontId="3" fillId="0" borderId="0" xfId="0" applyNumberFormat="1" applyFont="1" applyAlignment="1">
      <alignment horizontal="center"/>
    </xf>
    <xf numFmtId="166" fontId="19" fillId="0" borderId="0" xfId="1" applyNumberFormat="1" applyFont="1" applyFill="1" applyAlignment="1">
      <alignment horizontal="right"/>
    </xf>
    <xf numFmtId="166" fontId="19" fillId="0" borderId="0" xfId="1" applyNumberFormat="1" applyFont="1" applyFill="1" applyAlignment="1">
      <alignment horizontal="center"/>
    </xf>
    <xf numFmtId="3" fontId="3" fillId="3" borderId="0" xfId="0" applyNumberFormat="1" applyFont="1" applyFill="1"/>
    <xf numFmtId="3" fontId="3" fillId="3" borderId="0" xfId="0" applyNumberFormat="1" applyFont="1" applyFill="1" applyAlignment="1">
      <alignment horizontal="center"/>
    </xf>
    <xf numFmtId="0" fontId="3" fillId="4" borderId="0" xfId="0" applyFont="1" applyFill="1" applyAlignment="1">
      <alignment horizontal="center"/>
    </xf>
    <xf numFmtId="9" fontId="3" fillId="0" borderId="0" xfId="0" applyNumberFormat="1" applyFont="1"/>
    <xf numFmtId="0" fontId="22" fillId="0" borderId="0" xfId="0" applyFont="1" applyAlignment="1">
      <alignment horizontal="left" indent="1"/>
    </xf>
    <xf numFmtId="0" fontId="22" fillId="0" borderId="0" xfId="0" applyFont="1"/>
    <xf numFmtId="3" fontId="22" fillId="0" borderId="0" xfId="0" applyNumberFormat="1" applyFont="1"/>
    <xf numFmtId="3" fontId="22" fillId="0" borderId="0" xfId="0" applyNumberFormat="1" applyFont="1" applyAlignment="1">
      <alignment horizontal="center"/>
    </xf>
    <xf numFmtId="3" fontId="14" fillId="0" borderId="0" xfId="0" applyNumberFormat="1" applyFont="1"/>
    <xf numFmtId="3" fontId="14" fillId="0" borderId="0" xfId="0" applyNumberFormat="1" applyFont="1" applyAlignment="1">
      <alignment horizontal="center"/>
    </xf>
    <xf numFmtId="0" fontId="18" fillId="0" borderId="0" xfId="0" applyFont="1" applyAlignment="1">
      <alignment horizontal="left" indent="1"/>
    </xf>
    <xf numFmtId="43" fontId="19" fillId="0" borderId="0" xfId="1" applyFont="1" applyFill="1" applyBorder="1" applyAlignment="1">
      <alignment horizontal="right"/>
    </xf>
    <xf numFmtId="43" fontId="19" fillId="0" borderId="0" xfId="1" applyFont="1" applyFill="1" applyBorder="1" applyAlignment="1">
      <alignment horizontal="center"/>
    </xf>
    <xf numFmtId="166" fontId="19" fillId="0" borderId="0" xfId="1" applyNumberFormat="1" applyFont="1" applyFill="1" applyBorder="1" applyAlignment="1">
      <alignment horizontal="right"/>
    </xf>
    <xf numFmtId="165" fontId="19" fillId="0" borderId="0" xfId="1" applyNumberFormat="1" applyFont="1" applyFill="1" applyBorder="1" applyAlignment="1">
      <alignment horizontal="right"/>
    </xf>
    <xf numFmtId="3" fontId="19" fillId="0" borderId="0" xfId="1" applyNumberFormat="1" applyFont="1" applyFill="1" applyAlignment="1">
      <alignment horizontal="right"/>
    </xf>
    <xf numFmtId="3" fontId="19" fillId="0" borderId="0" xfId="1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0" fontId="24" fillId="0" borderId="0" xfId="3" applyFont="1" applyAlignment="1" applyProtection="1"/>
    <xf numFmtId="9" fontId="19" fillId="0" borderId="0" xfId="2" applyFont="1" applyFill="1" applyAlignment="1">
      <alignment horizontal="right" shrinkToFit="1"/>
    </xf>
    <xf numFmtId="9" fontId="19" fillId="0" borderId="0" xfId="2" applyFont="1" applyFill="1" applyAlignment="1">
      <alignment horizontal="right"/>
    </xf>
    <xf numFmtId="0" fontId="7" fillId="4" borderId="0" xfId="0" applyFont="1" applyFill="1" applyAlignment="1">
      <alignment horizontal="left"/>
    </xf>
    <xf numFmtId="0" fontId="6" fillId="0" borderId="0" xfId="0" applyFont="1"/>
    <xf numFmtId="0" fontId="9" fillId="0" borderId="0" xfId="0" applyFont="1"/>
    <xf numFmtId="0" fontId="6" fillId="0" borderId="0" xfId="0" applyFont="1" applyAlignment="1">
      <alignment horizontal="center"/>
    </xf>
    <xf numFmtId="0" fontId="10" fillId="0" borderId="0" xfId="0" applyFont="1"/>
    <xf numFmtId="0" fontId="25" fillId="0" borderId="0" xfId="0" applyFont="1"/>
    <xf numFmtId="0" fontId="25" fillId="0" borderId="0" xfId="0" applyFont="1" applyAlignment="1">
      <alignment horizontal="center"/>
    </xf>
    <xf numFmtId="3" fontId="3" fillId="0" borderId="0" xfId="0" applyNumberFormat="1" applyFont="1" applyAlignment="1">
      <alignment horizontal="right"/>
    </xf>
    <xf numFmtId="167" fontId="19" fillId="0" borderId="0" xfId="1" applyNumberFormat="1" applyFont="1" applyFill="1" applyAlignment="1">
      <alignment horizontal="right"/>
    </xf>
    <xf numFmtId="9" fontId="19" fillId="0" borderId="0" xfId="2" applyFont="1" applyFill="1" applyAlignment="1">
      <alignment horizontal="center"/>
    </xf>
    <xf numFmtId="9" fontId="26" fillId="0" borderId="0" xfId="0" applyNumberFormat="1" applyFont="1"/>
    <xf numFmtId="9" fontId="3" fillId="0" borderId="0" xfId="2" applyFont="1" applyFill="1"/>
    <xf numFmtId="9" fontId="3" fillId="0" borderId="0" xfId="2" applyFont="1" applyFill="1" applyAlignment="1">
      <alignment horizontal="center"/>
    </xf>
    <xf numFmtId="10" fontId="18" fillId="0" borderId="0" xfId="2" applyNumberFormat="1" applyFont="1" applyFill="1" applyBorder="1" applyAlignment="1">
      <alignment horizontal="right"/>
    </xf>
    <xf numFmtId="168" fontId="18" fillId="0" borderId="0" xfId="2" applyNumberFormat="1" applyFont="1" applyFill="1" applyBorder="1" applyAlignment="1">
      <alignment horizontal="right"/>
    </xf>
    <xf numFmtId="3" fontId="3" fillId="0" borderId="0" xfId="2" applyNumberFormat="1" applyFont="1" applyFill="1" applyBorder="1" applyAlignment="1">
      <alignment horizontal="right"/>
    </xf>
    <xf numFmtId="3" fontId="3" fillId="0" borderId="0" xfId="2" applyNumberFormat="1" applyFont="1" applyFill="1" applyBorder="1" applyAlignment="1">
      <alignment horizontal="center"/>
    </xf>
    <xf numFmtId="4" fontId="3" fillId="0" borderId="0" xfId="2" applyNumberFormat="1" applyFont="1" applyFill="1" applyBorder="1" applyAlignment="1">
      <alignment horizontal="right"/>
    </xf>
    <xf numFmtId="4" fontId="3" fillId="0" borderId="0" xfId="2" applyNumberFormat="1" applyFont="1" applyFill="1" applyBorder="1" applyAlignment="1">
      <alignment horizontal="center"/>
    </xf>
    <xf numFmtId="9" fontId="3" fillId="0" borderId="0" xfId="2" applyFont="1" applyFill="1" applyBorder="1" applyAlignment="1">
      <alignment horizontal="right"/>
    </xf>
    <xf numFmtId="9" fontId="3" fillId="0" borderId="0" xfId="2" applyFont="1" applyFill="1" applyBorder="1" applyAlignment="1">
      <alignment horizontal="center"/>
    </xf>
    <xf numFmtId="0" fontId="14" fillId="0" borderId="0" xfId="0" applyFont="1" applyAlignment="1">
      <alignment horizontal="left" indent="1"/>
    </xf>
    <xf numFmtId="10" fontId="19" fillId="0" borderId="0" xfId="2" applyNumberFormat="1" applyFont="1" applyFill="1" applyBorder="1" applyAlignment="1">
      <alignment horizontal="right"/>
    </xf>
    <xf numFmtId="168" fontId="19" fillId="0" borderId="0" xfId="2" applyNumberFormat="1" applyFont="1" applyFill="1" applyBorder="1" applyAlignment="1">
      <alignment horizontal="right"/>
    </xf>
    <xf numFmtId="9" fontId="14" fillId="0" borderId="0" xfId="2" applyFont="1" applyFill="1" applyBorder="1" applyAlignment="1">
      <alignment horizontal="right"/>
    </xf>
    <xf numFmtId="9" fontId="14" fillId="0" borderId="0" xfId="2" applyFont="1" applyFill="1" applyBorder="1"/>
    <xf numFmtId="9" fontId="14" fillId="0" borderId="0" xfId="2" applyFont="1" applyFill="1" applyBorder="1" applyAlignment="1">
      <alignment horizontal="center"/>
    </xf>
    <xf numFmtId="3" fontId="19" fillId="0" borderId="0" xfId="0" applyNumberFormat="1" applyFont="1"/>
    <xf numFmtId="43" fontId="7" fillId="4" borderId="0" xfId="0" applyNumberFormat="1" applyFont="1" applyFill="1" applyAlignment="1">
      <alignment horizontal="right"/>
    </xf>
    <xf numFmtId="10" fontId="7" fillId="4" borderId="0" xfId="2" applyNumberFormat="1" applyFont="1" applyFill="1" applyAlignment="1">
      <alignment horizontal="right"/>
    </xf>
    <xf numFmtId="3" fontId="27" fillId="0" borderId="0" xfId="1" applyNumberFormat="1" applyFont="1" applyFill="1" applyAlignment="1">
      <alignment horizontal="left"/>
    </xf>
    <xf numFmtId="3" fontId="28" fillId="0" borderId="0" xfId="1" applyNumberFormat="1" applyFont="1" applyFill="1" applyAlignment="1">
      <alignment horizontal="center"/>
    </xf>
    <xf numFmtId="166" fontId="27" fillId="0" borderId="0" xfId="1" applyNumberFormat="1" applyFont="1" applyFill="1" applyAlignment="1">
      <alignment horizontal="right" shrinkToFit="1"/>
    </xf>
    <xf numFmtId="0" fontId="27" fillId="0" borderId="0" xfId="0" applyFont="1"/>
    <xf numFmtId="1" fontId="27" fillId="0" borderId="0" xfId="0" applyNumberFormat="1" applyFont="1"/>
    <xf numFmtId="3" fontId="3" fillId="0" borderId="0" xfId="1" applyNumberFormat="1" applyFont="1" applyFill="1" applyAlignment="1">
      <alignment horizontal="left"/>
    </xf>
    <xf numFmtId="166" fontId="3" fillId="0" borderId="0" xfId="1" applyNumberFormat="1" applyFont="1" applyFill="1" applyAlignment="1">
      <alignment horizontal="right" shrinkToFit="1"/>
    </xf>
    <xf numFmtId="43" fontId="14" fillId="0" borderId="0" xfId="1" applyFont="1" applyFill="1" applyBorder="1" applyAlignment="1">
      <alignment horizontal="right"/>
    </xf>
    <xf numFmtId="43" fontId="3" fillId="0" borderId="0" xfId="1" applyFont="1" applyAlignment="1">
      <alignment horizontal="right"/>
    </xf>
    <xf numFmtId="10" fontId="3" fillId="0" borderId="0" xfId="2" applyNumberFormat="1" applyFont="1"/>
    <xf numFmtId="10" fontId="14" fillId="0" borderId="0" xfId="2" applyNumberFormat="1" applyFont="1" applyFill="1" applyBorder="1" applyAlignment="1">
      <alignment horizontal="right"/>
    </xf>
    <xf numFmtId="165" fontId="3" fillId="0" borderId="0" xfId="1" applyNumberFormat="1" applyFont="1" applyFill="1" applyAlignment="1">
      <alignment horizontal="right" shrinkToFit="1"/>
    </xf>
    <xf numFmtId="2" fontId="14" fillId="0" borderId="0" xfId="2" applyNumberFormat="1" applyFont="1" applyFill="1" applyBorder="1" applyAlignment="1">
      <alignment horizontal="right"/>
    </xf>
    <xf numFmtId="10" fontId="3" fillId="0" borderId="0" xfId="2" applyNumberFormat="1" applyFont="1" applyFill="1" applyBorder="1" applyAlignment="1">
      <alignment horizontal="right"/>
    </xf>
    <xf numFmtId="9" fontId="14" fillId="0" borderId="0" xfId="2" applyFont="1" applyFill="1" applyAlignment="1">
      <alignment horizontal="right"/>
    </xf>
    <xf numFmtId="3" fontId="14" fillId="0" borderId="0" xfId="1" applyNumberFormat="1" applyFont="1" applyFill="1" applyAlignment="1">
      <alignment horizontal="right"/>
    </xf>
    <xf numFmtId="3" fontId="14" fillId="0" borderId="0" xfId="1" applyNumberFormat="1" applyFont="1" applyFill="1" applyAlignment="1">
      <alignment horizontal="center"/>
    </xf>
    <xf numFmtId="43" fontId="19" fillId="0" borderId="0" xfId="1" applyFont="1" applyFill="1" applyAlignment="1">
      <alignment horizontal="right"/>
    </xf>
    <xf numFmtId="9" fontId="3" fillId="0" borderId="0" xfId="2" applyFont="1" applyAlignment="1">
      <alignment horizontal="right"/>
    </xf>
    <xf numFmtId="10" fontId="18" fillId="0" borderId="0" xfId="2" applyNumberFormat="1" applyFont="1" applyFill="1" applyBorder="1" applyAlignment="1">
      <alignment horizontal="center"/>
    </xf>
    <xf numFmtId="43" fontId="14" fillId="0" borderId="0" xfId="0" applyNumberFormat="1" applyFont="1"/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53">
    <dxf>
      <fill>
        <patternFill>
          <bgColor rgb="FFFFAFAF"/>
        </patternFill>
      </fill>
    </dxf>
    <dxf>
      <font>
        <color auto="1"/>
      </font>
      <fill>
        <patternFill>
          <bgColor rgb="FFCCFF99"/>
        </patternFill>
      </fill>
    </dxf>
    <dxf>
      <fill>
        <patternFill>
          <bgColor rgb="FFCCFF99"/>
        </patternFill>
      </fill>
    </dxf>
    <dxf>
      <fill>
        <patternFill>
          <bgColor theme="6" tint="0.79998168889431442"/>
        </patternFill>
      </fill>
    </dxf>
    <dxf>
      <fill>
        <patternFill>
          <bgColor rgb="FFCCFF99"/>
        </patternFill>
      </fill>
    </dxf>
    <dxf>
      <fill>
        <patternFill>
          <bgColor theme="6" tint="0.79998168889431442"/>
        </patternFill>
      </fill>
    </dxf>
    <dxf>
      <fill>
        <patternFill>
          <bgColor rgb="FFFFB7B7"/>
        </patternFill>
      </fill>
    </dxf>
    <dxf>
      <font>
        <color auto="1"/>
      </font>
      <fill>
        <patternFill>
          <bgColor rgb="FFCCFF99"/>
        </patternFill>
      </fill>
    </dxf>
    <dxf>
      <font>
        <b/>
        <i val="0"/>
      </font>
      <fill>
        <patternFill>
          <bgColor rgb="FFFFABAB"/>
        </patternFill>
      </fill>
    </dxf>
    <dxf>
      <fill>
        <patternFill>
          <bgColor rgb="FFCCFF99"/>
        </patternFill>
      </fill>
    </dxf>
    <dxf>
      <fill>
        <patternFill>
          <bgColor rgb="FFCCFF99"/>
        </patternFill>
      </fill>
    </dxf>
    <dxf>
      <fill>
        <patternFill>
          <bgColor theme="6" tint="0.79998168889431442"/>
        </patternFill>
      </fill>
    </dxf>
    <dxf>
      <fill>
        <patternFill>
          <bgColor rgb="FFCCFF99"/>
        </patternFill>
      </fill>
    </dxf>
    <dxf>
      <fill>
        <patternFill>
          <bgColor theme="6" tint="0.79998168889431442"/>
        </patternFill>
      </fill>
    </dxf>
    <dxf>
      <fill>
        <patternFill>
          <bgColor rgb="FFFFBDBD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>
          <bgColor rgb="FFFFABAB"/>
        </patternFill>
      </fill>
    </dxf>
    <dxf>
      <fill>
        <patternFill>
          <bgColor rgb="FFCCFF99"/>
        </patternFill>
      </fill>
    </dxf>
    <dxf>
      <fill>
        <patternFill>
          <bgColor rgb="FFFFB7B7"/>
        </patternFill>
      </fill>
    </dxf>
    <dxf>
      <fill>
        <patternFill>
          <bgColor theme="6" tint="0.79998168889431442"/>
        </patternFill>
      </fill>
    </dxf>
    <dxf>
      <fill>
        <patternFill>
          <bgColor rgb="FFCCFF99"/>
        </patternFill>
      </fill>
    </dxf>
    <dxf>
      <fill>
        <patternFill>
          <bgColor rgb="FFCCFF99"/>
        </patternFill>
      </fill>
    </dxf>
    <dxf>
      <fill>
        <patternFill>
          <bgColor rgb="FFFFB7B7"/>
        </patternFill>
      </fill>
    </dxf>
    <dxf>
      <font>
        <b/>
        <i val="0"/>
      </font>
      <fill>
        <patternFill>
          <bgColor rgb="FFFFABAB"/>
        </patternFill>
      </fill>
    </dxf>
    <dxf>
      <fill>
        <patternFill>
          <bgColor theme="6" tint="0.79998168889431442"/>
        </patternFill>
      </fill>
    </dxf>
    <dxf>
      <fill>
        <patternFill>
          <bgColor rgb="FFCCFF99"/>
        </patternFill>
      </fill>
    </dxf>
    <dxf>
      <fill>
        <patternFill>
          <bgColor rgb="FFCCFF99"/>
        </patternFill>
      </fill>
    </dxf>
    <dxf>
      <fill>
        <patternFill>
          <bgColor theme="6" tint="0.79998168889431442"/>
        </patternFill>
      </fill>
    </dxf>
    <dxf>
      <fill>
        <patternFill>
          <bgColor rgb="FFCCFF99"/>
        </patternFill>
      </fill>
    </dxf>
    <dxf>
      <fill>
        <patternFill>
          <bgColor theme="6" tint="0.79998168889431442"/>
        </patternFill>
      </fill>
    </dxf>
    <dxf>
      <fill>
        <patternFill>
          <bgColor rgb="FFCCFF99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>
          <bgColor theme="6" tint="0.79998168889431442"/>
        </patternFill>
      </fill>
    </dxf>
    <dxf>
      <font>
        <b/>
        <i val="0"/>
      </font>
      <fill>
        <patternFill>
          <bgColor rgb="FFCCFF99"/>
        </patternFill>
      </fill>
    </dxf>
    <dxf>
      <font>
        <color auto="1"/>
      </font>
      <fill>
        <patternFill>
          <bgColor rgb="FFFFA7A7"/>
        </patternFill>
      </fill>
    </dxf>
    <dxf>
      <font>
        <color auto="1"/>
      </font>
      <fill>
        <patternFill>
          <bgColor rgb="FFCCFF99"/>
        </patternFill>
      </fill>
    </dxf>
    <dxf>
      <font>
        <b/>
        <i val="0"/>
      </font>
      <fill>
        <patternFill>
          <bgColor rgb="FFFFABAB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CCFF99"/>
        </patternFill>
      </fill>
    </dxf>
    <dxf>
      <font>
        <color auto="1"/>
      </font>
      <fill>
        <patternFill>
          <bgColor rgb="FFFFAFAF"/>
        </patternFill>
      </fill>
    </dxf>
    <dxf>
      <fill>
        <patternFill>
          <bgColor rgb="FFCCFF99"/>
        </patternFill>
      </fill>
    </dxf>
    <dxf>
      <font>
        <color auto="1"/>
      </font>
      <fill>
        <patternFill>
          <bgColor rgb="FFFFAFAF"/>
        </patternFill>
      </fill>
    </dxf>
    <dxf>
      <fill>
        <patternFill>
          <bgColor rgb="FFCCFF99"/>
        </patternFill>
      </fill>
    </dxf>
    <dxf>
      <font>
        <color auto="1"/>
      </font>
      <fill>
        <patternFill>
          <bgColor rgb="FFFFAFAF"/>
        </patternFill>
      </fill>
    </dxf>
    <dxf>
      <fill>
        <patternFill>
          <bgColor rgb="FFCCFF99"/>
        </patternFill>
      </fill>
    </dxf>
    <dxf>
      <font>
        <color auto="1"/>
      </font>
      <fill>
        <patternFill>
          <bgColor rgb="FFCCFF99"/>
        </patternFill>
      </fill>
    </dxf>
    <dxf>
      <font>
        <b/>
        <i val="0"/>
      </font>
      <fill>
        <patternFill>
          <bgColor rgb="FFFFABAB"/>
        </patternFill>
      </fill>
    </dxf>
    <dxf>
      <fill>
        <patternFill>
          <bgColor rgb="FFCCFF99"/>
        </patternFill>
      </fill>
    </dxf>
    <dxf>
      <font>
        <color auto="1"/>
      </font>
      <fill>
        <patternFill>
          <bgColor rgb="FFFFAFAF"/>
        </patternFill>
      </fill>
    </dxf>
    <dxf>
      <font>
        <b val="0"/>
        <i val="0"/>
        <color auto="1"/>
      </font>
      <fill>
        <patternFill>
          <bgColor rgb="FFCCFF99"/>
        </patternFill>
      </fill>
    </dxf>
    <dxf>
      <font>
        <color auto="1"/>
      </font>
      <fill>
        <patternFill>
          <bgColor rgb="FFFFAFA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esktop/JSW%20Steel.xlsx" TargetMode="External"/><Relationship Id="rId2" Type="http://schemas.openxmlformats.org/officeDocument/2006/relationships/externalLinkPath" Target="file:///C:\Users\Ritansu\Desktop\JSW%20Steel.xlsx" TargetMode="External"/><Relationship Id="rId1" Type="http://schemas.openxmlformats.org/officeDocument/2006/relationships/externalLinkPath" Target="/Users/Ritansu/Desktop/JSW%20Ste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inancials SJ"/>
      <sheetName val="Profit &amp; Loss"/>
      <sheetName val="Quarters"/>
      <sheetName val="Balance Sheet"/>
      <sheetName val="Cash Flow"/>
      <sheetName val="Customization"/>
      <sheetName val="Final Raw"/>
      <sheetName val="Summ"/>
      <sheetName val="BS &amp; P&amp;L &amp; Stats"/>
      <sheetName val="Data Sheet"/>
      <sheetName val="Financials"/>
      <sheetName val="Dr Vijay Malik Analysis"/>
      <sheetName val="VM Checklist"/>
      <sheetName val="VM Analysis"/>
      <sheetName val="Final Score"/>
      <sheetName val="Conclusion"/>
      <sheetName val="Trends"/>
      <sheetName val="10 Yr Journey"/>
      <sheetName val="Dr Vijay Malik Analysis (2)"/>
    </sheetNames>
    <sheetDataSet>
      <sheetData sheetId="0"/>
      <sheetData sheetId="1"/>
      <sheetData sheetId="2"/>
      <sheetData sheetId="3"/>
      <sheetData sheetId="4"/>
      <sheetData sheetId="5"/>
      <sheetData sheetId="6">
        <row r="303">
          <cell r="B303">
            <v>101.34315874397799</v>
          </cell>
        </row>
        <row r="304">
          <cell r="B304">
            <v>428.15777319652472</v>
          </cell>
        </row>
        <row r="313">
          <cell r="B313">
            <v>189687</v>
          </cell>
        </row>
        <row r="315">
          <cell r="B315">
            <v>8.8550398691474133</v>
          </cell>
        </row>
        <row r="316">
          <cell r="B316">
            <v>1263.9000000000001</v>
          </cell>
        </row>
        <row r="326">
          <cell r="B326">
            <v>7.006123798676646E-3</v>
          </cell>
        </row>
      </sheetData>
      <sheetData sheetId="7"/>
      <sheetData sheetId="8">
        <row r="4">
          <cell r="B4">
            <v>45491.703999999998</v>
          </cell>
          <cell r="C4">
            <v>69651.617999999988</v>
          </cell>
          <cell r="D4">
            <v>70836.046000000002</v>
          </cell>
          <cell r="E4">
            <v>35351.550000000003</v>
          </cell>
          <cell r="F4">
            <v>113233.734</v>
          </cell>
          <cell r="G4">
            <v>177096.158</v>
          </cell>
          <cell r="H4">
            <v>166327.53200000001</v>
          </cell>
          <cell r="I4">
            <v>203025.41000000003</v>
          </cell>
          <cell r="J4">
            <v>260005.56000000003</v>
          </cell>
          <cell r="K4">
            <v>274507.375</v>
          </cell>
          <cell r="L4">
            <v>309080.89</v>
          </cell>
        </row>
        <row r="6">
          <cell r="A6" t="str">
            <v>Sales</v>
          </cell>
          <cell r="B6">
            <v>55604</v>
          </cell>
          <cell r="C6">
            <v>71933</v>
          </cell>
          <cell r="D6">
            <v>84757</v>
          </cell>
          <cell r="E6">
            <v>73326</v>
          </cell>
          <cell r="F6">
            <v>79839</v>
          </cell>
          <cell r="G6">
            <v>146371</v>
          </cell>
          <cell r="H6">
            <v>165960</v>
          </cell>
          <cell r="I6">
            <v>175006</v>
          </cell>
          <cell r="J6">
            <v>168824</v>
          </cell>
          <cell r="K6">
            <v>185470</v>
          </cell>
          <cell r="L6">
            <v>189687</v>
          </cell>
        </row>
        <row r="14">
          <cell r="A14" t="str">
            <v>Profit before Int, Depn &amp; Tax</v>
          </cell>
          <cell r="B14">
            <v>12308</v>
          </cell>
          <cell r="C14">
            <v>14916</v>
          </cell>
          <cell r="D14">
            <v>18930</v>
          </cell>
          <cell r="E14">
            <v>11813</v>
          </cell>
          <cell r="F14">
            <v>20178</v>
          </cell>
          <cell r="G14">
            <v>39114</v>
          </cell>
          <cell r="H14">
            <v>18470</v>
          </cell>
          <cell r="I14">
            <v>28157</v>
          </cell>
          <cell r="J14">
            <v>22725</v>
          </cell>
          <cell r="K14">
            <v>29464</v>
          </cell>
          <cell r="L14">
            <v>31155</v>
          </cell>
        </row>
        <row r="15">
          <cell r="A15" t="str">
            <v>OPM (%)</v>
          </cell>
          <cell r="B15">
            <v>0.22135098194374506</v>
          </cell>
          <cell r="C15">
            <v>0.20735962631893567</v>
          </cell>
          <cell r="D15">
            <v>0.22334438453461072</v>
          </cell>
          <cell r="E15">
            <v>0.16110247388375201</v>
          </cell>
          <cell r="F15">
            <v>0.25273362642317665</v>
          </cell>
          <cell r="G15">
            <v>0.26722506507436583</v>
          </cell>
          <cell r="H15">
            <v>0.11129187756085804</v>
          </cell>
          <cell r="I15">
            <v>0.16089162657280323</v>
          </cell>
          <cell r="J15">
            <v>0.134607638724352</v>
          </cell>
          <cell r="K15">
            <v>0.15886127136464118</v>
          </cell>
          <cell r="L15">
            <v>0.16424425500956841</v>
          </cell>
        </row>
        <row r="17">
          <cell r="B17">
            <v>3430</v>
          </cell>
          <cell r="C17">
            <v>3387</v>
          </cell>
          <cell r="D17">
            <v>4041</v>
          </cell>
          <cell r="E17">
            <v>4246</v>
          </cell>
          <cell r="F17">
            <v>4679</v>
          </cell>
          <cell r="G17">
            <v>6001</v>
          </cell>
          <cell r="H17">
            <v>7474</v>
          </cell>
          <cell r="I17">
            <v>8172</v>
          </cell>
          <cell r="J17">
            <v>9309</v>
          </cell>
          <cell r="K17">
            <v>9601</v>
          </cell>
        </row>
        <row r="18">
          <cell r="A18" t="str">
            <v>Profit Before Int &amp; tax</v>
          </cell>
          <cell r="B18">
            <v>8896</v>
          </cell>
          <cell r="C18">
            <v>11352</v>
          </cell>
          <cell r="D18">
            <v>15085</v>
          </cell>
          <cell r="E18">
            <v>7278</v>
          </cell>
          <cell r="F18">
            <v>15972</v>
          </cell>
          <cell r="G18">
            <v>34713</v>
          </cell>
          <cell r="H18">
            <v>12557</v>
          </cell>
          <cell r="I18">
            <v>21485</v>
          </cell>
          <cell r="J18">
            <v>13489</v>
          </cell>
          <cell r="K18">
            <v>38352</v>
          </cell>
          <cell r="L18">
            <v>40935</v>
          </cell>
        </row>
        <row r="19">
          <cell r="A19" t="str">
            <v>Interest</v>
          </cell>
          <cell r="B19">
            <v>3768</v>
          </cell>
          <cell r="C19">
            <v>3701</v>
          </cell>
          <cell r="D19">
            <v>3917</v>
          </cell>
          <cell r="E19">
            <v>4265</v>
          </cell>
          <cell r="F19">
            <v>3957</v>
          </cell>
          <cell r="G19">
            <v>4968</v>
          </cell>
          <cell r="H19">
            <v>6902</v>
          </cell>
          <cell r="I19">
            <v>8105</v>
          </cell>
          <cell r="J19">
            <v>8412</v>
          </cell>
          <cell r="K19">
            <v>9102</v>
          </cell>
          <cell r="L19">
            <v>8597</v>
          </cell>
        </row>
        <row r="20">
          <cell r="A20" t="str">
            <v>Int. Coverage Ratio</v>
          </cell>
          <cell r="B20">
            <v>2.3609341825902335</v>
          </cell>
          <cell r="C20">
            <v>3.0672791137530395</v>
          </cell>
          <cell r="D20">
            <v>3.8511616032678071</v>
          </cell>
          <cell r="E20">
            <v>1.7064478311840563</v>
          </cell>
          <cell r="F20">
            <v>4.0363912054586812</v>
          </cell>
          <cell r="G20">
            <v>6.98731884057971</v>
          </cell>
          <cell r="H20">
            <v>1.819327731092437</v>
          </cell>
          <cell r="I20">
            <v>2.6508328192473782</v>
          </cell>
          <cell r="J20">
            <v>1.6035425582501188</v>
          </cell>
          <cell r="K20">
            <v>4.2135794330916285</v>
          </cell>
          <cell r="L20">
            <v>4.7615447249040361</v>
          </cell>
        </row>
        <row r="21">
          <cell r="A21" t="str">
            <v>Profit before tax</v>
          </cell>
          <cell r="B21">
            <v>5128</v>
          </cell>
          <cell r="C21">
            <v>7651</v>
          </cell>
          <cell r="D21">
            <v>11168</v>
          </cell>
          <cell r="E21">
            <v>3013</v>
          </cell>
          <cell r="F21">
            <v>12015</v>
          </cell>
          <cell r="G21">
            <v>29745</v>
          </cell>
          <cell r="H21">
            <v>5655</v>
          </cell>
          <cell r="I21">
            <v>13380</v>
          </cell>
          <cell r="J21">
            <v>5077</v>
          </cell>
          <cell r="K21">
            <v>29250</v>
          </cell>
          <cell r="L21">
            <v>32338</v>
          </cell>
        </row>
        <row r="22">
          <cell r="A22" t="str">
            <v>Tax</v>
          </cell>
          <cell r="B22">
            <v>1674</v>
          </cell>
          <cell r="C22">
            <v>1538</v>
          </cell>
          <cell r="D22">
            <v>3644</v>
          </cell>
          <cell r="E22">
            <v>-906</v>
          </cell>
          <cell r="F22">
            <v>4142</v>
          </cell>
          <cell r="G22">
            <v>8807</v>
          </cell>
          <cell r="H22">
            <v>1516</v>
          </cell>
          <cell r="I22">
            <v>4407</v>
          </cell>
          <cell r="J22">
            <v>1586</v>
          </cell>
          <cell r="K22">
            <v>3742</v>
          </cell>
          <cell r="L22">
            <v>4343</v>
          </cell>
        </row>
        <row r="23">
          <cell r="A23" t="str">
            <v>Tax %</v>
          </cell>
          <cell r="B23">
            <v>0.32644305772230892</v>
          </cell>
          <cell r="C23">
            <v>0.20101947457848648</v>
          </cell>
          <cell r="D23">
            <v>0.32628939828080228</v>
          </cell>
          <cell r="E23" t="str">
            <v>--</v>
          </cell>
          <cell r="F23">
            <v>0.34473574698293802</v>
          </cell>
          <cell r="G23">
            <v>0.29608337535720292</v>
          </cell>
          <cell r="H23">
            <v>0.26808134394341293</v>
          </cell>
          <cell r="I23">
            <v>0.32937219730941703</v>
          </cell>
          <cell r="J23">
            <v>0.31238920622414812</v>
          </cell>
          <cell r="K23">
            <v>0.12793162393162394</v>
          </cell>
          <cell r="L23">
            <v>0.13430020409425444</v>
          </cell>
        </row>
        <row r="24">
          <cell r="A24" t="str">
            <v>Net profit</v>
          </cell>
          <cell r="B24">
            <v>3523</v>
          </cell>
          <cell r="C24">
            <v>6214</v>
          </cell>
          <cell r="D24">
            <v>7639</v>
          </cell>
          <cell r="E24">
            <v>4030</v>
          </cell>
          <cell r="F24">
            <v>7911</v>
          </cell>
          <cell r="G24">
            <v>20665</v>
          </cell>
          <cell r="H24">
            <v>4144</v>
          </cell>
          <cell r="I24">
            <v>8812</v>
          </cell>
          <cell r="J24">
            <v>3504</v>
          </cell>
          <cell r="K24">
            <v>22316</v>
          </cell>
          <cell r="L24">
            <v>24783</v>
          </cell>
        </row>
        <row r="25">
          <cell r="B25">
            <v>6.3358751168980654E-2</v>
          </cell>
          <cell r="C25">
            <v>8.6385942474246871E-2</v>
          </cell>
          <cell r="D25">
            <v>9.0128248994183369E-2</v>
          </cell>
          <cell r="E25">
            <v>5.4960041458691322E-2</v>
          </cell>
          <cell r="F25">
            <v>9.9086912411227593E-2</v>
          </cell>
          <cell r="G25">
            <v>0.14118233803144065</v>
          </cell>
          <cell r="H25">
            <v>2.4969872258375513E-2</v>
          </cell>
          <cell r="I25">
            <v>5.0352559340822597E-2</v>
          </cell>
          <cell r="J25">
            <v>2.0755342842249919E-2</v>
          </cell>
          <cell r="K25">
            <v>0.12032134577020542</v>
          </cell>
          <cell r="L25">
            <v>0.13065207420645589</v>
          </cell>
        </row>
        <row r="26">
          <cell r="A26" t="str">
            <v>Dividend Amount</v>
          </cell>
          <cell r="B26">
            <v>677.25</v>
          </cell>
          <cell r="C26">
            <v>966.4</v>
          </cell>
          <cell r="D26">
            <v>1234.0999999999999</v>
          </cell>
          <cell r="E26">
            <v>602</v>
          </cell>
          <cell r="F26">
            <v>1963</v>
          </cell>
          <cell r="G26">
            <v>5222.3500000000004</v>
          </cell>
          <cell r="H26">
            <v>1023.4</v>
          </cell>
          <cell r="I26">
            <v>2226.5</v>
          </cell>
          <cell r="J26">
            <v>854</v>
          </cell>
          <cell r="K26">
            <v>2165.5</v>
          </cell>
        </row>
        <row r="27">
          <cell r="B27">
            <v>2845.75</v>
          </cell>
          <cell r="C27">
            <v>5247.6</v>
          </cell>
          <cell r="D27">
            <v>6404.9</v>
          </cell>
          <cell r="E27">
            <v>3428</v>
          </cell>
          <cell r="F27">
            <v>5948</v>
          </cell>
          <cell r="G27">
            <v>15442.65</v>
          </cell>
          <cell r="H27">
            <v>3120.6</v>
          </cell>
          <cell r="I27">
            <v>6585.5</v>
          </cell>
          <cell r="J27">
            <v>2650</v>
          </cell>
          <cell r="K27">
            <v>20150.5</v>
          </cell>
        </row>
        <row r="30">
          <cell r="B30">
            <v>45565</v>
          </cell>
          <cell r="C30">
            <v>45657</v>
          </cell>
          <cell r="D30">
            <v>45747</v>
          </cell>
          <cell r="E30">
            <v>45838</v>
          </cell>
          <cell r="F30">
            <v>45930</v>
          </cell>
          <cell r="G30">
            <v>46022</v>
          </cell>
          <cell r="H30">
            <v>46112</v>
          </cell>
          <cell r="I30">
            <v>46203</v>
          </cell>
          <cell r="J30" t="str">
            <v>TTM</v>
          </cell>
          <cell r="K30" t="str">
            <v>TTM (-) 1</v>
          </cell>
          <cell r="L30" t="str">
            <v>Growth</v>
          </cell>
        </row>
        <row r="31">
          <cell r="A31" t="str">
            <v>Sales</v>
          </cell>
          <cell r="B31">
            <v>39684</v>
          </cell>
          <cell r="C31">
            <v>41378</v>
          </cell>
          <cell r="D31">
            <v>44819</v>
          </cell>
          <cell r="E31">
            <v>43147</v>
          </cell>
          <cell r="F31">
            <v>45152</v>
          </cell>
          <cell r="G31">
            <v>45991</v>
          </cell>
          <cell r="H31">
            <v>51180</v>
          </cell>
          <cell r="I31">
            <v>47364</v>
          </cell>
          <cell r="J31">
            <v>189687</v>
          </cell>
          <cell r="K31">
            <v>169028</v>
          </cell>
          <cell r="L31">
            <v>0.12222235369287929</v>
          </cell>
        </row>
        <row r="33">
          <cell r="A33" t="str">
            <v>Profit before Int, Depn &amp; Tax</v>
          </cell>
          <cell r="B33">
            <v>5375</v>
          </cell>
          <cell r="C33">
            <v>5579</v>
          </cell>
          <cell r="D33">
            <v>6135</v>
          </cell>
          <cell r="E33">
            <v>7476</v>
          </cell>
          <cell r="F33">
            <v>7027</v>
          </cell>
          <cell r="G33">
            <v>6379</v>
          </cell>
          <cell r="H33">
            <v>8464</v>
          </cell>
          <cell r="I33">
            <v>9285</v>
          </cell>
          <cell r="J33">
            <v>31155</v>
          </cell>
          <cell r="K33">
            <v>24565</v>
          </cell>
          <cell r="L33">
            <v>0.26826786077752901</v>
          </cell>
        </row>
        <row r="34">
          <cell r="A34" t="str">
            <v>OPM (%)</v>
          </cell>
          <cell r="B34">
            <v>0.13544501562342506</v>
          </cell>
          <cell r="C34">
            <v>0.1348301029532602</v>
          </cell>
          <cell r="D34">
            <v>0.13688391084138424</v>
          </cell>
          <cell r="E34">
            <v>0.17326812988156767</v>
          </cell>
          <cell r="F34">
            <v>0.15562987243090007</v>
          </cell>
          <cell r="G34">
            <v>0.13870105020547499</v>
          </cell>
          <cell r="H34">
            <v>0.1653771004298554</v>
          </cell>
          <cell r="I34">
            <v>0.19603496326323791</v>
          </cell>
          <cell r="J34">
            <v>0.16424425500956841</v>
          </cell>
          <cell r="K34">
            <v>0.14533095108502733</v>
          </cell>
        </row>
        <row r="41">
          <cell r="A41" t="str">
            <v>Net profit</v>
          </cell>
          <cell r="B41">
            <v>439</v>
          </cell>
          <cell r="C41">
            <v>717</v>
          </cell>
          <cell r="D41">
            <v>1503</v>
          </cell>
          <cell r="E41">
            <v>2184</v>
          </cell>
          <cell r="F41">
            <v>1623</v>
          </cell>
          <cell r="G41">
            <v>2139</v>
          </cell>
          <cell r="H41">
            <v>16370</v>
          </cell>
          <cell r="I41">
            <v>4651</v>
          </cell>
          <cell r="J41">
            <v>24783</v>
          </cell>
          <cell r="K41">
            <v>4843</v>
          </cell>
          <cell r="L41">
            <v>4.1172826760272558</v>
          </cell>
        </row>
        <row r="42">
          <cell r="A42" t="str">
            <v>NPM (%)</v>
          </cell>
          <cell r="B42">
            <v>1.1062392903941135E-2</v>
          </cell>
          <cell r="C42">
            <v>1.7328048721542848E-2</v>
          </cell>
          <cell r="D42">
            <v>3.3534884758696086E-2</v>
          </cell>
          <cell r="E42">
            <v>5.0617655920457971E-2</v>
          </cell>
          <cell r="F42">
            <v>3.5945251594613752E-2</v>
          </cell>
          <cell r="G42">
            <v>4.650909960644474E-2</v>
          </cell>
          <cell r="H42">
            <v>0.31985150449394295</v>
          </cell>
          <cell r="I42">
            <v>9.8196942825774847E-2</v>
          </cell>
          <cell r="J42">
            <v>0.13065207420645589</v>
          </cell>
          <cell r="K42">
            <v>2.8652057647253711E-2</v>
          </cell>
        </row>
        <row r="45">
          <cell r="I45">
            <v>45930</v>
          </cell>
          <cell r="J45">
            <v>46022</v>
          </cell>
          <cell r="K45">
            <v>46112</v>
          </cell>
          <cell r="L45">
            <v>46203</v>
          </cell>
        </row>
        <row r="46">
          <cell r="B46" t="str">
            <v>9 Yrs</v>
          </cell>
          <cell r="C46" t="str">
            <v>5 Yrs</v>
          </cell>
          <cell r="D46" t="str">
            <v>3 Yrs</v>
          </cell>
          <cell r="E46" t="str">
            <v>TTM</v>
          </cell>
        </row>
        <row r="47">
          <cell r="B47">
            <v>0.14321979964407872</v>
          </cell>
          <cell r="C47">
            <v>0.18361842389693006</v>
          </cell>
          <cell r="D47">
            <v>3.7743643656640735E-2</v>
          </cell>
          <cell r="E47">
            <v>0.12222235369287929</v>
          </cell>
          <cell r="I47">
            <v>0.13778852938211875</v>
          </cell>
          <cell r="J47">
            <v>0.11148436367151626</v>
          </cell>
          <cell r="K47">
            <v>0.14192641513643767</v>
          </cell>
          <cell r="L47">
            <v>9.7735647901360467E-2</v>
          </cell>
        </row>
        <row r="48">
          <cell r="A48" t="str">
            <v>Ops Prof Grwth (CAGR)</v>
          </cell>
          <cell r="B48">
            <v>0.10185054527635562</v>
          </cell>
          <cell r="C48">
            <v>7.8655389161183642E-2</v>
          </cell>
          <cell r="D48">
            <v>0.16844498829211818</v>
          </cell>
          <cell r="E48">
            <v>0.26826786077752901</v>
          </cell>
        </row>
        <row r="49">
          <cell r="A49" t="str">
            <v>Net Prof Grwth (CAGR)</v>
          </cell>
          <cell r="B49">
            <v>0.22766023800301749</v>
          </cell>
          <cell r="C49">
            <v>0.23048689763171959</v>
          </cell>
          <cell r="D49">
            <v>0.75279934394387515</v>
          </cell>
          <cell r="E49">
            <v>4.1172826760272558</v>
          </cell>
        </row>
        <row r="50">
          <cell r="A50" t="str">
            <v>Ops Prof Margin</v>
          </cell>
          <cell r="E50">
            <v>0.16424425500956841</v>
          </cell>
        </row>
        <row r="51">
          <cell r="A51" t="str">
            <v>Net Prof Margin</v>
          </cell>
          <cell r="E51">
            <v>0.13065207420645589</v>
          </cell>
        </row>
        <row r="55">
          <cell r="J55">
            <v>4</v>
          </cell>
          <cell r="L55">
            <v>1</v>
          </cell>
        </row>
        <row r="56">
          <cell r="B56">
            <v>2</v>
          </cell>
          <cell r="D56">
            <v>0.66666666666666663</v>
          </cell>
          <cell r="J56">
            <v>4</v>
          </cell>
          <cell r="L56">
            <v>1</v>
          </cell>
        </row>
        <row r="57">
          <cell r="B57">
            <v>1</v>
          </cell>
          <cell r="D57">
            <v>1</v>
          </cell>
          <cell r="J57">
            <v>4</v>
          </cell>
          <cell r="L57">
            <v>1</v>
          </cell>
        </row>
        <row r="58">
          <cell r="B58">
            <v>6</v>
          </cell>
          <cell r="D58">
            <v>0.66666666666666663</v>
          </cell>
        </row>
        <row r="59">
          <cell r="B59">
            <v>2</v>
          </cell>
          <cell r="D59">
            <v>0.66666666666666663</v>
          </cell>
        </row>
        <row r="60">
          <cell r="B60">
            <v>1</v>
          </cell>
          <cell r="D60">
            <v>1</v>
          </cell>
        </row>
        <row r="61">
          <cell r="B61">
            <v>6</v>
          </cell>
          <cell r="D61">
            <v>0.66666666666666663</v>
          </cell>
        </row>
        <row r="62">
          <cell r="B62">
            <v>2</v>
          </cell>
          <cell r="D62">
            <v>0.66666666666666663</v>
          </cell>
        </row>
        <row r="63">
          <cell r="B63">
            <v>1</v>
          </cell>
          <cell r="D63">
            <v>1</v>
          </cell>
        </row>
        <row r="68">
          <cell r="B68">
            <v>5</v>
          </cell>
          <cell r="D68">
            <v>0.5</v>
          </cell>
          <cell r="I68">
            <v>5</v>
          </cell>
          <cell r="K68">
            <v>0.55555555555555558</v>
          </cell>
        </row>
        <row r="69">
          <cell r="B69">
            <v>1</v>
          </cell>
          <cell r="D69">
            <v>0.33333333333333331</v>
          </cell>
          <cell r="I69">
            <v>2</v>
          </cell>
          <cell r="K69">
            <v>0.66666666666666663</v>
          </cell>
        </row>
        <row r="70">
          <cell r="B70">
            <v>1</v>
          </cell>
          <cell r="D70">
            <v>1</v>
          </cell>
          <cell r="I70">
            <v>0</v>
          </cell>
          <cell r="K70">
            <v>0</v>
          </cell>
        </row>
        <row r="74">
          <cell r="B74">
            <v>5</v>
          </cell>
          <cell r="D74">
            <v>0.5</v>
          </cell>
          <cell r="I74">
            <v>0</v>
          </cell>
          <cell r="K74">
            <v>0</v>
          </cell>
        </row>
        <row r="75">
          <cell r="B75">
            <v>1</v>
          </cell>
          <cell r="D75">
            <v>0.33333333333333331</v>
          </cell>
          <cell r="I75">
            <v>0</v>
          </cell>
          <cell r="K75">
            <v>0</v>
          </cell>
        </row>
        <row r="76">
          <cell r="B76">
            <v>1</v>
          </cell>
          <cell r="D76">
            <v>1</v>
          </cell>
          <cell r="I76">
            <v>0</v>
          </cell>
          <cell r="K76">
            <v>0</v>
          </cell>
        </row>
        <row r="80">
          <cell r="B80">
            <v>4</v>
          </cell>
          <cell r="D80">
            <v>0.4</v>
          </cell>
          <cell r="I80">
            <v>10</v>
          </cell>
          <cell r="K80">
            <v>1</v>
          </cell>
        </row>
        <row r="81">
          <cell r="B81">
            <v>3</v>
          </cell>
          <cell r="D81">
            <v>1</v>
          </cell>
          <cell r="I81">
            <v>3</v>
          </cell>
          <cell r="K81">
            <v>1</v>
          </cell>
        </row>
        <row r="82">
          <cell r="B82">
            <v>1</v>
          </cell>
          <cell r="D82">
            <v>1</v>
          </cell>
          <cell r="I82">
            <v>1</v>
          </cell>
          <cell r="K82">
            <v>1</v>
          </cell>
        </row>
        <row r="86">
          <cell r="D86">
            <v>174238</v>
          </cell>
          <cell r="J86">
            <v>12.471488116854296</v>
          </cell>
          <cell r="K86">
            <v>10</v>
          </cell>
        </row>
        <row r="87">
          <cell r="D87">
            <v>88758</v>
          </cell>
          <cell r="J87">
            <v>2.9519492091992667</v>
          </cell>
          <cell r="K87">
            <v>1.5</v>
          </cell>
        </row>
        <row r="88">
          <cell r="D88">
            <v>85480</v>
          </cell>
          <cell r="K88">
            <v>1</v>
          </cell>
        </row>
        <row r="89">
          <cell r="J89">
            <v>8.0182893222547666E-2</v>
          </cell>
          <cell r="K89">
            <v>6.5000000000000002E-2</v>
          </cell>
        </row>
        <row r="90">
          <cell r="J90">
            <v>1.6294257909081804</v>
          </cell>
          <cell r="K90" t="str">
            <v>&lt; 1.5</v>
          </cell>
          <cell r="L90" t="str">
            <v>No</v>
          </cell>
        </row>
        <row r="96">
          <cell r="A96" t="str">
            <v>Equity Share Capital</v>
          </cell>
          <cell r="B96">
            <v>301</v>
          </cell>
          <cell r="C96">
            <v>302</v>
          </cell>
          <cell r="D96">
            <v>301</v>
          </cell>
          <cell r="E96">
            <v>301</v>
          </cell>
          <cell r="F96">
            <v>302</v>
          </cell>
          <cell r="G96">
            <v>301</v>
          </cell>
          <cell r="H96">
            <v>301</v>
          </cell>
          <cell r="I96">
            <v>305</v>
          </cell>
          <cell r="J96">
            <v>305</v>
          </cell>
          <cell r="K96">
            <v>305</v>
          </cell>
        </row>
        <row r="97">
          <cell r="A97" t="str">
            <v>Reserves</v>
          </cell>
          <cell r="B97">
            <v>22346</v>
          </cell>
          <cell r="C97">
            <v>27696</v>
          </cell>
          <cell r="D97">
            <v>34494</v>
          </cell>
          <cell r="E97">
            <v>36298</v>
          </cell>
          <cell r="F97">
            <v>45308</v>
          </cell>
          <cell r="G97">
            <v>66996</v>
          </cell>
          <cell r="H97">
            <v>65394</v>
          </cell>
          <cell r="I97">
            <v>77364</v>
          </cell>
          <cell r="J97">
            <v>79191</v>
          </cell>
          <cell r="K97">
            <v>99748</v>
          </cell>
        </row>
        <row r="98">
          <cell r="A98" t="str">
            <v>Borrowings</v>
          </cell>
          <cell r="B98">
            <v>43334</v>
          </cell>
          <cell r="C98">
            <v>39393</v>
          </cell>
          <cell r="D98">
            <v>47396</v>
          </cell>
          <cell r="E98">
            <v>61423</v>
          </cell>
          <cell r="F98">
            <v>66727</v>
          </cell>
          <cell r="G98">
            <v>72237</v>
          </cell>
          <cell r="H98">
            <v>80853</v>
          </cell>
          <cell r="I98">
            <v>87984</v>
          </cell>
          <cell r="J98">
            <v>98752</v>
          </cell>
          <cell r="K98">
            <v>99310</v>
          </cell>
        </row>
        <row r="99">
          <cell r="A99" t="str">
            <v>Other Liabilities</v>
          </cell>
          <cell r="B99">
            <v>22024</v>
          </cell>
          <cell r="C99">
            <v>24579</v>
          </cell>
          <cell r="D99">
            <v>32606</v>
          </cell>
          <cell r="E99">
            <v>33798</v>
          </cell>
          <cell r="F99">
            <v>34826</v>
          </cell>
          <cell r="G99">
            <v>56951</v>
          </cell>
          <cell r="H99">
            <v>63991</v>
          </cell>
          <cell r="I99">
            <v>62245</v>
          </cell>
          <cell r="J99">
            <v>62197</v>
          </cell>
          <cell r="K99">
            <v>70295</v>
          </cell>
        </row>
        <row r="101">
          <cell r="B101">
            <v>58730</v>
          </cell>
          <cell r="C101">
            <v>57848</v>
          </cell>
          <cell r="D101">
            <v>62644</v>
          </cell>
          <cell r="E101">
            <v>62085</v>
          </cell>
          <cell r="F101">
            <v>64917</v>
          </cell>
          <cell r="G101">
            <v>99880</v>
          </cell>
          <cell r="H101">
            <v>104452</v>
          </cell>
          <cell r="I101">
            <v>112461</v>
          </cell>
          <cell r="J101">
            <v>124466</v>
          </cell>
          <cell r="K101">
            <v>117129</v>
          </cell>
        </row>
        <row r="102">
          <cell r="B102">
            <v>4363</v>
          </cell>
          <cell r="C102">
            <v>5950</v>
          </cell>
          <cell r="D102">
            <v>11889</v>
          </cell>
          <cell r="E102">
            <v>27191</v>
          </cell>
          <cell r="F102">
            <v>32566</v>
          </cell>
          <cell r="G102">
            <v>16905</v>
          </cell>
          <cell r="H102">
            <v>22166</v>
          </cell>
          <cell r="I102">
            <v>29676</v>
          </cell>
          <cell r="J102">
            <v>21007</v>
          </cell>
          <cell r="K102">
            <v>22315</v>
          </cell>
        </row>
        <row r="104">
          <cell r="A104" t="str">
            <v>Other Assets</v>
          </cell>
          <cell r="B104">
            <v>23546</v>
          </cell>
          <cell r="C104">
            <v>26703</v>
          </cell>
          <cell r="D104">
            <v>38370</v>
          </cell>
          <cell r="E104">
            <v>41285</v>
          </cell>
          <cell r="F104">
            <v>42253</v>
          </cell>
          <cell r="G104">
            <v>74760</v>
          </cell>
          <cell r="H104">
            <v>79115</v>
          </cell>
          <cell r="I104">
            <v>78515</v>
          </cell>
          <cell r="J104">
            <v>79755</v>
          </cell>
          <cell r="K104">
            <v>119996</v>
          </cell>
        </row>
        <row r="106">
          <cell r="B106">
            <v>4149</v>
          </cell>
          <cell r="C106">
            <v>4704</v>
          </cell>
          <cell r="D106">
            <v>7160</v>
          </cell>
          <cell r="E106">
            <v>4505</v>
          </cell>
          <cell r="F106">
            <v>4486</v>
          </cell>
          <cell r="G106">
            <v>7457</v>
          </cell>
          <cell r="H106">
            <v>7134</v>
          </cell>
          <cell r="I106">
            <v>7548</v>
          </cell>
          <cell r="J106">
            <v>8415</v>
          </cell>
          <cell r="K106">
            <v>11260</v>
          </cell>
        </row>
        <row r="107">
          <cell r="B107">
            <v>11395</v>
          </cell>
          <cell r="C107">
            <v>12594</v>
          </cell>
          <cell r="D107">
            <v>14548</v>
          </cell>
          <cell r="E107">
            <v>13773</v>
          </cell>
          <cell r="F107">
            <v>14249</v>
          </cell>
          <cell r="G107">
            <v>33787</v>
          </cell>
          <cell r="H107">
            <v>33135</v>
          </cell>
          <cell r="I107">
            <v>37815</v>
          </cell>
          <cell r="J107">
            <v>34956</v>
          </cell>
          <cell r="K107">
            <v>32765</v>
          </cell>
        </row>
        <row r="129">
          <cell r="A129" t="str">
            <v>Cash from Operating Activity</v>
          </cell>
          <cell r="B129">
            <v>7888</v>
          </cell>
          <cell r="C129">
            <v>12379</v>
          </cell>
          <cell r="D129">
            <v>14633</v>
          </cell>
          <cell r="E129">
            <v>12785</v>
          </cell>
          <cell r="F129">
            <v>18831</v>
          </cell>
          <cell r="G129">
            <v>26270</v>
          </cell>
          <cell r="H129">
            <v>23323</v>
          </cell>
          <cell r="I129">
            <v>12078</v>
          </cell>
          <cell r="J129">
            <v>20899</v>
          </cell>
          <cell r="K129">
            <v>25152</v>
          </cell>
        </row>
      </sheetData>
      <sheetData sheetId="9">
        <row r="1">
          <cell r="B1" t="str">
            <v>JSW STEEL LTD</v>
          </cell>
          <cell r="E1" t="str">
            <v/>
          </cell>
        </row>
        <row r="16">
          <cell r="B16">
            <v>42825</v>
          </cell>
          <cell r="C16">
            <v>43190</v>
          </cell>
          <cell r="D16">
            <v>43555</v>
          </cell>
          <cell r="E16">
            <v>43921</v>
          </cell>
          <cell r="F16">
            <v>44286</v>
          </cell>
          <cell r="G16">
            <v>44651</v>
          </cell>
          <cell r="H16">
            <v>45016</v>
          </cell>
          <cell r="I16">
            <v>45382</v>
          </cell>
          <cell r="J16">
            <v>45747</v>
          </cell>
          <cell r="K16">
            <v>46112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532A2-FE1E-4436-949F-F12AEAEF9C6F}">
  <dimension ref="A1:R386"/>
  <sheetViews>
    <sheetView showGridLines="0" tabSelected="1" zoomScaleNormal="100" workbookViewId="0">
      <pane ySplit="5" topLeftCell="A240" activePane="bottomLeft" state="frozen"/>
      <selection pane="bottomLeft" activeCell="J368" sqref="J368"/>
    </sheetView>
  </sheetViews>
  <sheetFormatPr defaultColWidth="10.7265625" defaultRowHeight="18" customHeight="1" x14ac:dyDescent="0.3"/>
  <cols>
    <col min="1" max="1" width="4.26953125" style="2" customWidth="1"/>
    <col min="2" max="2" width="10.7265625" style="2"/>
    <col min="3" max="3" width="12.453125" style="2" customWidth="1"/>
    <col min="4" max="7" width="10.7265625" style="2"/>
    <col min="8" max="10" width="10.7265625" style="3"/>
    <col min="11" max="11" width="11.26953125" style="2" bestFit="1" customWidth="1"/>
    <col min="12" max="13" width="10.7265625" style="2"/>
    <col min="14" max="14" width="11.26953125" style="2" bestFit="1" customWidth="1"/>
    <col min="15" max="17" width="10.7265625" style="2"/>
    <col min="18" max="18" width="7" style="2" customWidth="1"/>
    <col min="19" max="16384" width="10.7265625" style="2"/>
  </cols>
  <sheetData>
    <row r="1" spans="1:18" ht="18" customHeight="1" x14ac:dyDescent="0.3">
      <c r="A1" s="1" t="s">
        <v>0</v>
      </c>
      <c r="H1" s="2"/>
      <c r="I1" s="2"/>
    </row>
    <row r="2" spans="1:18" ht="3.75" customHeight="1" x14ac:dyDescent="0.3">
      <c r="H2" s="2"/>
      <c r="I2" s="2"/>
    </row>
    <row r="3" spans="1:18" ht="18" customHeight="1" x14ac:dyDescent="0.3">
      <c r="A3" s="4" t="str">
        <f>'[1]Data Sheet'!B1</f>
        <v>JSW STEEL LTD</v>
      </c>
      <c r="F3" s="5" t="s">
        <v>1</v>
      </c>
      <c r="G3" s="5">
        <f>SUM(J6,J26,J57,J72,J87,J105,J121,J122,J133,J134,J146,J147,J159,J172,J190,J200,J206,J221,J240,J247,J253,J261,J267,J281,J286,J291,J296,J301,J311,J334,J354)</f>
        <v>26.2</v>
      </c>
      <c r="H3" s="5">
        <f>SUM(K6,K26,K57,K72,K87,K105,K121,K122,K133,K134,K146,K147,K159,K172,K190,K200,K206,K221,K240,K247,K253,K254,,K261,K267,K281,K286,K291,K296,K301,K311,K334,K354)</f>
        <v>61</v>
      </c>
      <c r="I3" s="6">
        <f>G3/H3</f>
        <v>0.42950819672131146</v>
      </c>
      <c r="J3" s="5" t="s">
        <v>2</v>
      </c>
      <c r="K3" s="5">
        <f>SUM(J363,J364,J365,J366,J367,J368)</f>
        <v>5</v>
      </c>
      <c r="L3" s="5">
        <f>SUM(K363,K364,K365,K366,K367,K368)</f>
        <v>10</v>
      </c>
      <c r="M3" s="6">
        <f>K3/L3</f>
        <v>0.5</v>
      </c>
      <c r="N3" s="5" t="s">
        <v>3</v>
      </c>
      <c r="O3" s="5">
        <f>G3+K3</f>
        <v>31.2</v>
      </c>
      <c r="P3" s="5">
        <f>H3+L3</f>
        <v>71</v>
      </c>
      <c r="Q3" s="6">
        <f>O3/P3</f>
        <v>0.43943661971830983</v>
      </c>
    </row>
    <row r="4" spans="1:18" ht="18" customHeight="1" x14ac:dyDescent="0.3">
      <c r="A4" s="7"/>
      <c r="B4" s="7"/>
      <c r="C4" s="7"/>
      <c r="D4" s="8"/>
      <c r="E4" s="7"/>
      <c r="F4" s="9"/>
      <c r="G4" s="10"/>
      <c r="H4" s="7"/>
      <c r="I4" s="7"/>
      <c r="J4" s="10" t="s">
        <v>4</v>
      </c>
      <c r="K4" s="10" t="s">
        <v>5</v>
      </c>
      <c r="L4" s="7"/>
      <c r="M4" s="7"/>
      <c r="N4" s="7"/>
      <c r="O4" s="7"/>
      <c r="P4" s="7"/>
      <c r="Q4" s="7"/>
      <c r="R4" s="7"/>
    </row>
    <row r="5" spans="1:18" ht="18" customHeight="1" x14ac:dyDescent="0.3">
      <c r="A5" s="7" t="s">
        <v>6</v>
      </c>
      <c r="B5" s="7" t="s">
        <v>7</v>
      </c>
      <c r="C5" s="7"/>
      <c r="D5" s="8"/>
      <c r="E5" s="7"/>
      <c r="F5" s="9" t="s">
        <v>8</v>
      </c>
      <c r="G5" s="10"/>
      <c r="H5" s="7"/>
      <c r="I5" s="7"/>
      <c r="J5" s="10" t="s">
        <v>9</v>
      </c>
      <c r="K5" s="10" t="s">
        <v>9</v>
      </c>
      <c r="L5" s="7" t="s">
        <v>10</v>
      </c>
      <c r="M5" s="7"/>
      <c r="N5" s="7"/>
      <c r="O5" s="7"/>
      <c r="P5" s="7"/>
      <c r="Q5" s="7"/>
      <c r="R5" s="7"/>
    </row>
    <row r="6" spans="1:18" ht="18" customHeight="1" x14ac:dyDescent="0.3">
      <c r="A6" s="11">
        <v>1</v>
      </c>
      <c r="B6" s="12" t="s">
        <v>11</v>
      </c>
      <c r="C6" s="12"/>
      <c r="D6" s="13"/>
      <c r="E6" s="12"/>
      <c r="F6" s="12" t="s">
        <v>12</v>
      </c>
      <c r="G6" s="12"/>
      <c r="H6" s="12"/>
      <c r="I6" s="12"/>
      <c r="J6" s="11">
        <v>1.5</v>
      </c>
      <c r="K6" s="11">
        <v>3</v>
      </c>
      <c r="L6" s="12"/>
      <c r="M6" s="12"/>
      <c r="N6" s="12"/>
      <c r="O6" s="12"/>
      <c r="P6" s="12"/>
      <c r="Q6" s="14"/>
      <c r="R6" s="14"/>
    </row>
    <row r="7" spans="1:18" ht="18" customHeight="1" x14ac:dyDescent="0.3">
      <c r="A7" s="12"/>
      <c r="B7" s="12"/>
      <c r="C7" s="12"/>
      <c r="D7" s="12"/>
      <c r="E7" s="12"/>
      <c r="F7" s="12"/>
      <c r="G7" s="12"/>
      <c r="H7" s="12"/>
      <c r="I7" s="12"/>
      <c r="J7" s="11"/>
      <c r="K7" s="11"/>
      <c r="L7" s="12"/>
      <c r="M7" s="12"/>
      <c r="N7" s="12"/>
      <c r="O7" s="12"/>
      <c r="P7" s="12"/>
      <c r="Q7" s="14"/>
      <c r="R7" s="14"/>
    </row>
    <row r="8" spans="1:18" ht="18" customHeight="1" x14ac:dyDescent="0.3">
      <c r="A8" s="12"/>
      <c r="B8" s="12"/>
      <c r="C8" s="12"/>
      <c r="D8" s="12"/>
      <c r="E8" s="12"/>
      <c r="F8" s="12"/>
      <c r="G8" s="12"/>
      <c r="H8" s="12"/>
      <c r="I8" s="12"/>
      <c r="J8" s="11"/>
      <c r="K8" s="11"/>
      <c r="L8" s="12"/>
      <c r="M8" s="12"/>
      <c r="N8" s="12"/>
      <c r="O8" s="12"/>
      <c r="P8" s="12"/>
      <c r="Q8" s="14"/>
      <c r="R8" s="14"/>
    </row>
    <row r="9" spans="1:18" ht="18" customHeight="1" x14ac:dyDescent="0.3">
      <c r="A9" s="12"/>
      <c r="B9" s="12"/>
      <c r="C9" s="12"/>
      <c r="D9" s="12"/>
      <c r="E9" s="12"/>
      <c r="F9" s="12"/>
      <c r="G9" s="12"/>
      <c r="H9" s="12"/>
      <c r="I9" s="12"/>
      <c r="J9" s="11"/>
      <c r="K9" s="11"/>
      <c r="L9" s="12"/>
      <c r="M9" s="12"/>
      <c r="N9" s="12"/>
      <c r="O9" s="12"/>
      <c r="P9" s="12"/>
      <c r="Q9" s="14"/>
      <c r="R9" s="14"/>
    </row>
    <row r="10" spans="1:18" ht="18" customHeight="1" x14ac:dyDescent="0.3">
      <c r="A10" s="7"/>
      <c r="B10" s="15"/>
      <c r="C10" s="7"/>
      <c r="D10" s="7"/>
      <c r="E10" s="7"/>
      <c r="F10" s="7"/>
      <c r="G10" s="7"/>
      <c r="H10" s="7"/>
      <c r="I10" s="7"/>
      <c r="J10" s="10"/>
      <c r="K10" s="7"/>
      <c r="L10" s="7"/>
      <c r="M10" s="7"/>
      <c r="N10" s="7"/>
      <c r="O10" s="7"/>
      <c r="P10" s="7"/>
      <c r="Q10" s="16"/>
      <c r="R10" s="16"/>
    </row>
    <row r="11" spans="1:18" ht="18" customHeight="1" x14ac:dyDescent="0.3">
      <c r="A11" s="17"/>
      <c r="B11" s="18"/>
      <c r="C11" s="17"/>
      <c r="D11" s="17"/>
      <c r="E11" s="19" t="str">
        <f>'[1]BS &amp; P&amp;L &amp; Stats'!B46</f>
        <v>9 Yrs</v>
      </c>
      <c r="F11" s="19" t="str">
        <f>'[1]BS &amp; P&amp;L &amp; Stats'!C46</f>
        <v>5 Yrs</v>
      </c>
      <c r="G11" s="19" t="str">
        <f>'[1]BS &amp; P&amp;L &amp; Stats'!D46</f>
        <v>3 Yrs</v>
      </c>
      <c r="H11" s="19" t="str">
        <f>'[1]BS &amp; P&amp;L &amp; Stats'!E46</f>
        <v>TTM</v>
      </c>
      <c r="I11" s="19"/>
      <c r="J11" s="20"/>
      <c r="L11" s="17"/>
      <c r="M11" s="17"/>
      <c r="N11" s="19" t="str">
        <f>G11</f>
        <v>3 Yrs</v>
      </c>
      <c r="O11" s="19" t="str">
        <f>H11</f>
        <v>TTM</v>
      </c>
    </row>
    <row r="12" spans="1:18" ht="18" customHeight="1" x14ac:dyDescent="0.3">
      <c r="A12" s="20" t="s">
        <v>13</v>
      </c>
      <c r="B12" s="2" t="s">
        <v>14</v>
      </c>
      <c r="C12" s="17"/>
      <c r="D12" s="17"/>
      <c r="E12" s="21">
        <f>'[1]BS &amp; P&amp;L &amp; Stats'!B47</f>
        <v>0.14321979964407872</v>
      </c>
      <c r="F12" s="21">
        <f>'[1]BS &amp; P&amp;L &amp; Stats'!C47</f>
        <v>0.18361842389693006</v>
      </c>
      <c r="G12" s="21">
        <f>'[1]BS &amp; P&amp;L &amp; Stats'!D47</f>
        <v>3.7743643656640735E-2</v>
      </c>
      <c r="H12" s="21">
        <f>'[1]BS &amp; P&amp;L &amp; Stats'!E47</f>
        <v>0.12222235369287929</v>
      </c>
      <c r="I12" s="19"/>
      <c r="J12" s="20" t="s">
        <v>15</v>
      </c>
      <c r="K12" s="2" t="s">
        <v>16</v>
      </c>
      <c r="L12" s="17"/>
      <c r="M12" s="17"/>
      <c r="N12" s="21">
        <f>'[1]BS &amp; P&amp;L &amp; Stats'!D56</f>
        <v>0.66666666666666663</v>
      </c>
      <c r="O12" s="21">
        <f>'[1]BS &amp; P&amp;L &amp; Stats'!D57</f>
        <v>1</v>
      </c>
    </row>
    <row r="13" spans="1:18" ht="18" customHeight="1" x14ac:dyDescent="0.3">
      <c r="A13" s="20"/>
      <c r="C13" s="17"/>
      <c r="D13" s="17"/>
      <c r="E13" s="22">
        <f>'[1]BS &amp; P&amp;L &amp; Stats'!I45</f>
        <v>45930</v>
      </c>
      <c r="F13" s="22">
        <f>'[1]BS &amp; P&amp;L &amp; Stats'!J45</f>
        <v>46022</v>
      </c>
      <c r="G13" s="22">
        <f>'[1]BS &amp; P&amp;L &amp; Stats'!K45</f>
        <v>46112</v>
      </c>
      <c r="H13" s="22">
        <f>'[1]BS &amp; P&amp;L &amp; Stats'!L45</f>
        <v>46203</v>
      </c>
      <c r="I13" s="19"/>
      <c r="J13" s="20"/>
      <c r="K13" s="2" t="s">
        <v>17</v>
      </c>
      <c r="N13" s="23">
        <f>'[1]BS &amp; P&amp;L &amp; Stats'!B56</f>
        <v>2</v>
      </c>
      <c r="O13" s="23">
        <f>'[1]BS &amp; P&amp;L &amp; Stats'!B57</f>
        <v>1</v>
      </c>
    </row>
    <row r="14" spans="1:18" ht="18" customHeight="1" x14ac:dyDescent="0.3">
      <c r="A14" s="20" t="s">
        <v>18</v>
      </c>
      <c r="B14" s="2" t="s">
        <v>19</v>
      </c>
      <c r="C14" s="17"/>
      <c r="D14" s="17"/>
      <c r="E14" s="21">
        <f>'[1]BS &amp; P&amp;L &amp; Stats'!I47</f>
        <v>0.13778852938211875</v>
      </c>
      <c r="F14" s="21">
        <f>'[1]BS &amp; P&amp;L &amp; Stats'!J47</f>
        <v>0.11148436367151626</v>
      </c>
      <c r="G14" s="21">
        <f>'[1]BS &amp; P&amp;L &amp; Stats'!K47</f>
        <v>0.14192641513643767</v>
      </c>
      <c r="H14" s="21">
        <f>'[1]BS &amp; P&amp;L &amp; Stats'!L47</f>
        <v>9.7735647901360467E-2</v>
      </c>
      <c r="I14" s="19"/>
      <c r="J14" s="20"/>
      <c r="N14" s="23"/>
      <c r="O14" s="19" t="str">
        <f>O11</f>
        <v>TTM</v>
      </c>
    </row>
    <row r="15" spans="1:18" ht="18" customHeight="1" x14ac:dyDescent="0.3">
      <c r="A15" s="20"/>
      <c r="B15" s="20"/>
      <c r="C15" s="20"/>
      <c r="D15" s="20"/>
      <c r="E15" s="20"/>
      <c r="F15" s="20"/>
      <c r="G15" s="20"/>
      <c r="H15" s="20"/>
      <c r="I15" s="19"/>
      <c r="J15" s="20" t="s">
        <v>20</v>
      </c>
      <c r="K15" s="2" t="s">
        <v>21</v>
      </c>
      <c r="N15" s="24"/>
      <c r="O15" s="21">
        <f>'[1]BS &amp; P&amp;L &amp; Stats'!L55</f>
        <v>1</v>
      </c>
    </row>
    <row r="16" spans="1:18" ht="18" customHeight="1" x14ac:dyDescent="0.3">
      <c r="A16" s="20"/>
      <c r="B16" s="20"/>
      <c r="C16" s="20"/>
      <c r="D16" s="20"/>
      <c r="E16" s="20"/>
      <c r="F16" s="20"/>
      <c r="G16" s="20"/>
      <c r="H16" s="20"/>
      <c r="I16" s="19"/>
      <c r="J16" s="20"/>
      <c r="K16" s="2" t="s">
        <v>22</v>
      </c>
      <c r="N16" s="24"/>
      <c r="O16" s="23">
        <f>'[1]BS &amp; P&amp;L &amp; Stats'!J55</f>
        <v>4</v>
      </c>
    </row>
    <row r="17" spans="1:18" ht="18" customHeight="1" x14ac:dyDescent="0.3">
      <c r="A17" s="17"/>
      <c r="B17" s="17"/>
      <c r="C17" s="17"/>
      <c r="D17" s="17"/>
      <c r="E17" s="17"/>
      <c r="F17" s="17"/>
      <c r="G17" s="17"/>
      <c r="H17" s="17"/>
      <c r="I17" s="19"/>
      <c r="J17" s="25"/>
      <c r="K17" s="17"/>
      <c r="L17" s="17"/>
      <c r="M17" s="17"/>
      <c r="N17" s="17"/>
      <c r="O17" s="17"/>
      <c r="P17" s="17"/>
      <c r="Q17" s="26"/>
      <c r="R17" s="26"/>
    </row>
    <row r="18" spans="1:18" ht="18" customHeight="1" x14ac:dyDescent="0.3">
      <c r="A18" s="20" t="s">
        <v>23</v>
      </c>
      <c r="B18" s="27" t="s">
        <v>24</v>
      </c>
      <c r="C18" s="27"/>
      <c r="D18" s="27"/>
      <c r="E18" s="28">
        <f>'[1]Data Sheet'!$B$16</f>
        <v>42825</v>
      </c>
      <c r="F18" s="28">
        <f>'[1]Data Sheet'!$C$16</f>
        <v>43190</v>
      </c>
      <c r="G18" s="28">
        <f>'[1]Data Sheet'!$D$16</f>
        <v>43555</v>
      </c>
      <c r="H18" s="28">
        <f>'[1]Data Sheet'!$E$16</f>
        <v>43921</v>
      </c>
      <c r="I18" s="28">
        <f>'[1]Data Sheet'!$F$16</f>
        <v>44286</v>
      </c>
      <c r="J18" s="29">
        <f>'[1]Data Sheet'!$G$16</f>
        <v>44651</v>
      </c>
      <c r="K18" s="28">
        <f>'[1]Data Sheet'!$H$16</f>
        <v>45016</v>
      </c>
      <c r="L18" s="28">
        <f>'[1]Data Sheet'!$I$16</f>
        <v>45382</v>
      </c>
      <c r="M18" s="28">
        <f>'[1]Data Sheet'!$J$16</f>
        <v>45747</v>
      </c>
      <c r="N18" s="28">
        <f>'[1]Data Sheet'!$K$16</f>
        <v>46112</v>
      </c>
      <c r="O18" s="28" t="s">
        <v>25</v>
      </c>
      <c r="Q18" s="26"/>
      <c r="R18" s="26"/>
    </row>
    <row r="19" spans="1:18" ht="18" customHeight="1" x14ac:dyDescent="0.3">
      <c r="A19" s="17"/>
      <c r="B19" s="30" t="str">
        <f>'[1]BS &amp; P&amp;L &amp; Stats'!A6</f>
        <v>Sales</v>
      </c>
      <c r="E19" s="31">
        <f>'[1]BS &amp; P&amp;L &amp; Stats'!B6</f>
        <v>55604</v>
      </c>
      <c r="F19" s="31">
        <f>'[1]BS &amp; P&amp;L &amp; Stats'!C6</f>
        <v>71933</v>
      </c>
      <c r="G19" s="31">
        <f>'[1]BS &amp; P&amp;L &amp; Stats'!D6</f>
        <v>84757</v>
      </c>
      <c r="H19" s="31">
        <f>'[1]BS &amp; P&amp;L &amp; Stats'!E6</f>
        <v>73326</v>
      </c>
      <c r="I19" s="31">
        <f>'[1]BS &amp; P&amp;L &amp; Stats'!F6</f>
        <v>79839</v>
      </c>
      <c r="J19" s="32">
        <f>'[1]BS &amp; P&amp;L &amp; Stats'!G6</f>
        <v>146371</v>
      </c>
      <c r="K19" s="31">
        <f>'[1]BS &amp; P&amp;L &amp; Stats'!H6</f>
        <v>165960</v>
      </c>
      <c r="L19" s="31">
        <f>'[1]BS &amp; P&amp;L &amp; Stats'!I6</f>
        <v>175006</v>
      </c>
      <c r="M19" s="31">
        <f>'[1]BS &amp; P&amp;L &amp; Stats'!J6</f>
        <v>168824</v>
      </c>
      <c r="N19" s="31">
        <f>'[1]BS &amp; P&amp;L &amp; Stats'!K6</f>
        <v>185470</v>
      </c>
      <c r="O19" s="31">
        <f>'[1]BS &amp; P&amp;L &amp; Stats'!L6</f>
        <v>189687</v>
      </c>
      <c r="Q19" s="26"/>
      <c r="R19" s="26"/>
    </row>
    <row r="20" spans="1:18" ht="18" customHeight="1" x14ac:dyDescent="0.3">
      <c r="A20" s="17"/>
      <c r="E20" s="33"/>
      <c r="F20" s="33"/>
      <c r="G20" s="33"/>
      <c r="H20" s="33"/>
      <c r="I20" s="33"/>
      <c r="J20" s="34"/>
      <c r="K20" s="33"/>
      <c r="L20" s="33"/>
      <c r="M20" s="33"/>
      <c r="N20" s="33"/>
      <c r="O20" s="33"/>
      <c r="Q20" s="26"/>
      <c r="R20" s="26"/>
    </row>
    <row r="21" spans="1:18" ht="18" customHeight="1" x14ac:dyDescent="0.3">
      <c r="A21" s="20" t="s">
        <v>26</v>
      </c>
      <c r="B21" s="27" t="s">
        <v>27</v>
      </c>
      <c r="C21" s="27"/>
      <c r="D21" s="27"/>
      <c r="E21" s="35">
        <f>'[1]BS &amp; P&amp;L &amp; Stats'!B30</f>
        <v>45565</v>
      </c>
      <c r="F21" s="35">
        <f>'[1]BS &amp; P&amp;L &amp; Stats'!C30</f>
        <v>45657</v>
      </c>
      <c r="G21" s="35">
        <f>'[1]BS &amp; P&amp;L &amp; Stats'!D30</f>
        <v>45747</v>
      </c>
      <c r="H21" s="35">
        <f>'[1]BS &amp; P&amp;L &amp; Stats'!E30</f>
        <v>45838</v>
      </c>
      <c r="I21" s="35">
        <f>'[1]BS &amp; P&amp;L &amp; Stats'!F30</f>
        <v>45930</v>
      </c>
      <c r="J21" s="36">
        <f>'[1]BS &amp; P&amp;L &amp; Stats'!G30</f>
        <v>46022</v>
      </c>
      <c r="K21" s="35">
        <f>'[1]BS &amp; P&amp;L &amp; Stats'!H30</f>
        <v>46112</v>
      </c>
      <c r="L21" s="35">
        <f>'[1]BS &amp; P&amp;L &amp; Stats'!I30</f>
        <v>46203</v>
      </c>
      <c r="M21" s="35" t="str">
        <f>'[1]BS &amp; P&amp;L &amp; Stats'!J30</f>
        <v>TTM</v>
      </c>
      <c r="N21" s="35" t="str">
        <f>'[1]BS &amp; P&amp;L &amp; Stats'!K30</f>
        <v>TTM (-) 1</v>
      </c>
      <c r="O21" s="35" t="str">
        <f>'[1]BS &amp; P&amp;L &amp; Stats'!L30</f>
        <v>Growth</v>
      </c>
      <c r="Q21" s="26"/>
      <c r="R21" s="26"/>
    </row>
    <row r="22" spans="1:18" ht="18" customHeight="1" x14ac:dyDescent="0.3">
      <c r="A22" s="17"/>
      <c r="B22" s="30" t="str">
        <f>'[1]BS &amp; P&amp;L &amp; Stats'!A31</f>
        <v>Sales</v>
      </c>
      <c r="E22" s="31">
        <f>'[1]BS &amp; P&amp;L &amp; Stats'!B31</f>
        <v>39684</v>
      </c>
      <c r="F22" s="31">
        <f>'[1]BS &amp; P&amp;L &amp; Stats'!C31</f>
        <v>41378</v>
      </c>
      <c r="G22" s="31">
        <f>'[1]BS &amp; P&amp;L &amp; Stats'!D31</f>
        <v>44819</v>
      </c>
      <c r="H22" s="31">
        <f>'[1]BS &amp; P&amp;L &amp; Stats'!E31</f>
        <v>43147</v>
      </c>
      <c r="I22" s="31">
        <f>'[1]BS &amp; P&amp;L &amp; Stats'!F31</f>
        <v>45152</v>
      </c>
      <c r="J22" s="32">
        <f>'[1]BS &amp; P&amp;L &amp; Stats'!G31</f>
        <v>45991</v>
      </c>
      <c r="K22" s="31">
        <f>'[1]BS &amp; P&amp;L &amp; Stats'!H31</f>
        <v>51180</v>
      </c>
      <c r="L22" s="31">
        <f>'[1]BS &amp; P&amp;L &amp; Stats'!I31</f>
        <v>47364</v>
      </c>
      <c r="M22" s="37">
        <f>'[1]BS &amp; P&amp;L &amp; Stats'!J31</f>
        <v>189687</v>
      </c>
      <c r="N22" s="37">
        <f>'[1]BS &amp; P&amp;L &amp; Stats'!K31</f>
        <v>169028</v>
      </c>
      <c r="O22" s="38">
        <f>'[1]BS &amp; P&amp;L &amp; Stats'!L31</f>
        <v>0.12222235369287929</v>
      </c>
      <c r="Q22" s="26"/>
      <c r="R22" s="26"/>
    </row>
    <row r="23" spans="1:18" ht="18" customHeight="1" x14ac:dyDescent="0.3">
      <c r="A23" s="17"/>
      <c r="B23" s="17"/>
      <c r="C23" s="17"/>
      <c r="D23" s="17"/>
      <c r="E23" s="39"/>
      <c r="F23" s="39"/>
      <c r="G23" s="39"/>
      <c r="H23" s="39"/>
      <c r="I23" s="39"/>
      <c r="J23" s="40"/>
      <c r="K23" s="39"/>
      <c r="L23" s="39"/>
      <c r="M23" s="39"/>
      <c r="N23" s="39"/>
      <c r="O23" s="39"/>
      <c r="P23" s="17"/>
      <c r="Q23" s="26"/>
      <c r="R23" s="26"/>
    </row>
    <row r="24" spans="1:18" ht="18" customHeight="1" x14ac:dyDescent="0.3">
      <c r="H24" s="2"/>
      <c r="I24" s="2"/>
    </row>
    <row r="25" spans="1:18" ht="18" customHeight="1" x14ac:dyDescent="0.3">
      <c r="A25" s="41"/>
      <c r="B25" s="41"/>
      <c r="C25" s="41"/>
      <c r="D25" s="41"/>
      <c r="E25" s="41"/>
      <c r="F25" s="41"/>
      <c r="G25" s="41"/>
      <c r="H25" s="41"/>
      <c r="I25" s="41"/>
      <c r="J25" s="42"/>
      <c r="K25" s="41"/>
      <c r="L25" s="41"/>
      <c r="M25" s="41"/>
      <c r="N25" s="41"/>
      <c r="O25" s="41"/>
      <c r="P25" s="41"/>
      <c r="Q25" s="41"/>
      <c r="R25" s="41"/>
    </row>
    <row r="26" spans="1:18" ht="18" customHeight="1" x14ac:dyDescent="0.3">
      <c r="A26" s="11">
        <f>A6+1</f>
        <v>2</v>
      </c>
      <c r="B26" s="12" t="s">
        <v>28</v>
      </c>
      <c r="C26" s="12"/>
      <c r="D26" s="13"/>
      <c r="E26" s="12"/>
      <c r="F26" s="12" t="s">
        <v>29</v>
      </c>
      <c r="G26" s="12"/>
      <c r="H26" s="12"/>
      <c r="I26" s="12"/>
      <c r="J26" s="11">
        <v>2</v>
      </c>
      <c r="K26" s="11">
        <v>2</v>
      </c>
      <c r="L26" s="12"/>
      <c r="M26" s="12"/>
      <c r="N26" s="12"/>
      <c r="O26" s="12"/>
      <c r="P26" s="12"/>
      <c r="Q26" s="43"/>
      <c r="R26" s="43"/>
    </row>
    <row r="27" spans="1:18" ht="18" customHeight="1" x14ac:dyDescent="0.3">
      <c r="A27" s="11"/>
      <c r="B27" s="12"/>
      <c r="C27" s="12"/>
      <c r="D27" s="13"/>
      <c r="E27" s="12"/>
      <c r="F27" s="12"/>
      <c r="G27" s="12"/>
      <c r="H27" s="12"/>
      <c r="I27" s="12"/>
      <c r="J27" s="11"/>
      <c r="K27" s="11"/>
      <c r="L27" s="12"/>
      <c r="M27" s="12"/>
      <c r="N27" s="12"/>
      <c r="O27" s="12"/>
      <c r="P27" s="12"/>
      <c r="Q27" s="43"/>
      <c r="R27" s="43"/>
    </row>
    <row r="28" spans="1:18" ht="18" customHeight="1" x14ac:dyDescent="0.3">
      <c r="A28" s="11"/>
      <c r="B28" s="12"/>
      <c r="C28" s="12"/>
      <c r="D28" s="13"/>
      <c r="E28" s="12"/>
      <c r="F28" s="12"/>
      <c r="G28" s="12"/>
      <c r="H28" s="12"/>
      <c r="I28" s="12"/>
      <c r="J28" s="11"/>
      <c r="K28" s="11"/>
      <c r="L28" s="12"/>
      <c r="M28" s="12"/>
      <c r="N28" s="12"/>
      <c r="O28" s="12"/>
      <c r="P28" s="12"/>
      <c r="Q28" s="43"/>
      <c r="R28" s="43"/>
    </row>
    <row r="29" spans="1:18" ht="18" customHeight="1" x14ac:dyDescent="0.3">
      <c r="A29" s="11"/>
      <c r="B29" s="12"/>
      <c r="C29" s="12"/>
      <c r="D29" s="13"/>
      <c r="E29" s="12"/>
      <c r="F29" s="12"/>
      <c r="G29" s="12"/>
      <c r="H29" s="12"/>
      <c r="I29" s="12"/>
      <c r="J29" s="11"/>
      <c r="K29" s="11"/>
      <c r="L29" s="12"/>
      <c r="M29" s="12"/>
      <c r="N29" s="12"/>
      <c r="O29" s="12"/>
      <c r="P29" s="12"/>
      <c r="Q29" s="43"/>
      <c r="R29" s="43"/>
    </row>
    <row r="30" spans="1:18" ht="18" customHeight="1" x14ac:dyDescent="0.3">
      <c r="A30" s="7"/>
      <c r="B30" s="15"/>
      <c r="C30" s="7"/>
      <c r="D30" s="7"/>
      <c r="E30" s="7"/>
      <c r="F30" s="7"/>
      <c r="G30" s="7"/>
      <c r="H30" s="7"/>
      <c r="I30" s="7"/>
      <c r="J30" s="10"/>
      <c r="K30" s="7"/>
      <c r="L30" s="7"/>
      <c r="M30" s="7"/>
      <c r="N30" s="7"/>
      <c r="O30" s="7"/>
      <c r="P30" s="7"/>
      <c r="Q30" s="16"/>
      <c r="R30" s="16"/>
    </row>
    <row r="31" spans="1:18" ht="18" customHeight="1" x14ac:dyDescent="0.3">
      <c r="E31" s="19" t="str">
        <f>'[1]BS &amp; P&amp;L &amp; Stats'!B46</f>
        <v>9 Yrs</v>
      </c>
      <c r="F31" s="19" t="str">
        <f>'[1]BS &amp; P&amp;L &amp; Stats'!D46</f>
        <v>3 Yrs</v>
      </c>
      <c r="G31" s="19" t="str">
        <f>'[1]BS &amp; P&amp;L &amp; Stats'!E46</f>
        <v>TTM</v>
      </c>
      <c r="H31" s="2"/>
      <c r="I31" s="2"/>
      <c r="M31" s="19" t="str">
        <f>E31</f>
        <v>9 Yrs</v>
      </c>
      <c r="N31" s="19" t="str">
        <f>F31</f>
        <v>3 Yrs</v>
      </c>
      <c r="O31" s="19" t="str">
        <f>G31</f>
        <v>TTM</v>
      </c>
    </row>
    <row r="32" spans="1:18" ht="18" customHeight="1" x14ac:dyDescent="0.3">
      <c r="A32" s="44" t="s">
        <v>13</v>
      </c>
      <c r="B32" s="45" t="s">
        <v>30</v>
      </c>
      <c r="C32" s="45"/>
      <c r="H32" s="3" t="s">
        <v>26</v>
      </c>
      <c r="I32" s="2" t="s">
        <v>31</v>
      </c>
      <c r="M32" s="21">
        <f>'[1]BS &amp; P&amp;L &amp; Stats'!D58</f>
        <v>0.66666666666666663</v>
      </c>
      <c r="N32" s="21">
        <f>'[1]BS &amp; P&amp;L &amp; Stats'!D59</f>
        <v>0.66666666666666663</v>
      </c>
      <c r="O32" s="21">
        <f>'[1]BS &amp; P&amp;L &amp; Stats'!D60</f>
        <v>1</v>
      </c>
    </row>
    <row r="33" spans="1:15" ht="18" customHeight="1" x14ac:dyDescent="0.3">
      <c r="B33" s="45" t="s">
        <v>32</v>
      </c>
      <c r="C33" s="45"/>
      <c r="E33" s="21">
        <f>'[1]BS &amp; P&amp;L &amp; Stats'!D68</f>
        <v>0.5</v>
      </c>
      <c r="F33" s="21">
        <f>'[1]BS &amp; P&amp;L &amp; Stats'!D69</f>
        <v>0.33333333333333331</v>
      </c>
      <c r="G33" s="21">
        <f>'[1]BS &amp; P&amp;L &amp; Stats'!D70</f>
        <v>1</v>
      </c>
      <c r="I33" s="2" t="s">
        <v>33</v>
      </c>
      <c r="M33" s="23">
        <f>'[1]BS &amp; P&amp;L &amp; Stats'!B58</f>
        <v>6</v>
      </c>
      <c r="N33" s="23">
        <f>'[1]BS &amp; P&amp;L &amp; Stats'!B59</f>
        <v>2</v>
      </c>
      <c r="O33" s="23">
        <f>'[1]BS &amp; P&amp;L &amp; Stats'!B60</f>
        <v>1</v>
      </c>
    </row>
    <row r="34" spans="1:15" ht="18" customHeight="1" x14ac:dyDescent="0.3">
      <c r="A34" s="44" t="s">
        <v>18</v>
      </c>
      <c r="B34" s="45" t="s">
        <v>30</v>
      </c>
      <c r="H34" s="3" t="s">
        <v>34</v>
      </c>
      <c r="I34" s="2" t="s">
        <v>35</v>
      </c>
      <c r="M34" s="21">
        <f>'[1]BS &amp; P&amp;L &amp; Stats'!D61</f>
        <v>0.66666666666666663</v>
      </c>
      <c r="N34" s="21">
        <f>'[1]BS &amp; P&amp;L &amp; Stats'!D62</f>
        <v>0.66666666666666663</v>
      </c>
      <c r="O34" s="21">
        <f>'[1]BS &amp; P&amp;L &amp; Stats'!D63</f>
        <v>1</v>
      </c>
    </row>
    <row r="35" spans="1:15" ht="18" customHeight="1" x14ac:dyDescent="0.3">
      <c r="B35" s="45" t="s">
        <v>36</v>
      </c>
      <c r="E35" s="23">
        <f>'[1]BS &amp; P&amp;L &amp; Stats'!B68</f>
        <v>5</v>
      </c>
      <c r="F35" s="23">
        <f>'[1]BS &amp; P&amp;L &amp; Stats'!B69</f>
        <v>1</v>
      </c>
      <c r="G35" s="23">
        <f>'[1]BS &amp; P&amp;L &amp; Stats'!B70</f>
        <v>1</v>
      </c>
      <c r="I35" s="2" t="s">
        <v>37</v>
      </c>
      <c r="M35" s="46">
        <f>'[1]BS &amp; P&amp;L &amp; Stats'!B61</f>
        <v>6</v>
      </c>
      <c r="N35" s="23">
        <f>'[1]BS &amp; P&amp;L &amp; Stats'!B62</f>
        <v>2</v>
      </c>
      <c r="O35" s="23">
        <f>'[1]BS &amp; P&amp;L &amp; Stats'!B63</f>
        <v>1</v>
      </c>
    </row>
    <row r="36" spans="1:15" ht="18" customHeight="1" x14ac:dyDescent="0.3">
      <c r="A36" s="3" t="s">
        <v>15</v>
      </c>
      <c r="B36" s="2" t="str">
        <f>'[1]BS &amp; P&amp;L &amp; Stats'!A48</f>
        <v>Ops Prof Grwth (CAGR)</v>
      </c>
      <c r="E36" s="21">
        <f>'[1]BS &amp; P&amp;L &amp; Stats'!B48</f>
        <v>0.10185054527635562</v>
      </c>
      <c r="F36" s="21">
        <f>'[1]BS &amp; P&amp;L &amp; Stats'!D48</f>
        <v>0.16844498829211818</v>
      </c>
      <c r="G36" s="21">
        <f>'[1]BS &amp; P&amp;L &amp; Stats'!E48</f>
        <v>0.26826786077752901</v>
      </c>
      <c r="H36" s="3" t="s">
        <v>38</v>
      </c>
      <c r="I36" s="2" t="s">
        <v>39</v>
      </c>
      <c r="M36" s="23"/>
      <c r="N36" s="23"/>
      <c r="O36" s="21">
        <f>'[1]BS &amp; P&amp;L &amp; Stats'!L56</f>
        <v>1</v>
      </c>
    </row>
    <row r="37" spans="1:15" ht="18" customHeight="1" x14ac:dyDescent="0.3">
      <c r="A37" s="3" t="s">
        <v>20</v>
      </c>
      <c r="B37" s="2" t="str">
        <f>'[1]BS &amp; P&amp;L &amp; Stats'!A49</f>
        <v>Net Prof Grwth (CAGR)</v>
      </c>
      <c r="E37" s="21">
        <f>'[1]BS &amp; P&amp;L &amp; Stats'!B49</f>
        <v>0.22766023800301749</v>
      </c>
      <c r="F37" s="21">
        <f>'[1]BS &amp; P&amp;L &amp; Stats'!D49</f>
        <v>0.75279934394387515</v>
      </c>
      <c r="G37" s="21">
        <f>'[1]BS &amp; P&amp;L &amp; Stats'!E49</f>
        <v>4.1172826760272558</v>
      </c>
      <c r="I37" s="2" t="s">
        <v>40</v>
      </c>
      <c r="M37" s="23"/>
      <c r="N37" s="23"/>
      <c r="O37" s="23">
        <f>'[1]BS &amp; P&amp;L &amp; Stats'!J56</f>
        <v>4</v>
      </c>
    </row>
    <row r="38" spans="1:15" ht="18" customHeight="1" x14ac:dyDescent="0.3">
      <c r="A38" s="3" t="s">
        <v>23</v>
      </c>
      <c r="B38" s="2" t="str">
        <f>'[1]BS &amp; P&amp;L &amp; Stats'!A50</f>
        <v>Ops Prof Margin</v>
      </c>
      <c r="E38" s="47"/>
      <c r="F38" s="48"/>
      <c r="G38" s="21">
        <f>'[1]BS &amp; P&amp;L &amp; Stats'!E50</f>
        <v>0.16424425500956841</v>
      </c>
      <c r="H38" s="3" t="s">
        <v>41</v>
      </c>
      <c r="I38" s="2" t="s">
        <v>42</v>
      </c>
      <c r="M38" s="23"/>
      <c r="N38" s="23"/>
      <c r="O38" s="21">
        <f>'[1]BS &amp; P&amp;L &amp; Stats'!L57</f>
        <v>1</v>
      </c>
    </row>
    <row r="39" spans="1:15" ht="18" customHeight="1" x14ac:dyDescent="0.3">
      <c r="A39" s="3" t="s">
        <v>26</v>
      </c>
      <c r="B39" s="2" t="str">
        <f>'[1]BS &amp; P&amp;L &amp; Stats'!A51</f>
        <v>Net Prof Margin</v>
      </c>
      <c r="G39" s="21">
        <f>'[1]BS &amp; P&amp;L &amp; Stats'!E51</f>
        <v>0.13065207420645589</v>
      </c>
      <c r="I39" s="2" t="s">
        <v>43</v>
      </c>
      <c r="M39" s="23"/>
      <c r="N39" s="23"/>
      <c r="O39" s="23">
        <f>'[1]BS &amp; P&amp;L &amp; Stats'!J57</f>
        <v>4</v>
      </c>
    </row>
    <row r="40" spans="1:15" ht="18" customHeight="1" x14ac:dyDescent="0.3">
      <c r="A40" s="3"/>
    </row>
    <row r="41" spans="1:15" ht="18" customHeight="1" x14ac:dyDescent="0.3">
      <c r="A41" s="3"/>
    </row>
    <row r="42" spans="1:15" ht="18" customHeight="1" x14ac:dyDescent="0.3">
      <c r="A42" s="3"/>
      <c r="B42" s="27" t="s">
        <v>44</v>
      </c>
      <c r="C42" s="27"/>
      <c r="D42" s="27"/>
      <c r="E42" s="28">
        <f>'[1]Data Sheet'!$B$16</f>
        <v>42825</v>
      </c>
      <c r="F42" s="28">
        <f>'[1]Data Sheet'!$C$16</f>
        <v>43190</v>
      </c>
      <c r="G42" s="28">
        <f>'[1]Data Sheet'!$D$16</f>
        <v>43555</v>
      </c>
      <c r="H42" s="28">
        <f>'[1]Data Sheet'!$E$16</f>
        <v>43921</v>
      </c>
      <c r="I42" s="28">
        <f>'[1]Data Sheet'!$F$16</f>
        <v>44286</v>
      </c>
      <c r="J42" s="29">
        <f>'[1]Data Sheet'!$G$16</f>
        <v>44651</v>
      </c>
      <c r="K42" s="28">
        <f>'[1]Data Sheet'!$H$16</f>
        <v>45016</v>
      </c>
      <c r="L42" s="28">
        <f>'[1]Data Sheet'!$I$16</f>
        <v>45382</v>
      </c>
      <c r="M42" s="28">
        <f>'[1]Data Sheet'!$J$16</f>
        <v>45747</v>
      </c>
      <c r="N42" s="28">
        <f>'[1]Data Sheet'!$K$16</f>
        <v>46112</v>
      </c>
      <c r="O42" s="28" t="s">
        <v>25</v>
      </c>
    </row>
    <row r="43" spans="1:15" ht="18" customHeight="1" x14ac:dyDescent="0.3">
      <c r="A43" s="3"/>
      <c r="B43" s="30" t="str">
        <f>'[1]BS &amp; P&amp;L &amp; Stats'!A6</f>
        <v>Sales</v>
      </c>
      <c r="E43" s="49">
        <f>'[1]BS &amp; P&amp;L &amp; Stats'!B6</f>
        <v>55604</v>
      </c>
      <c r="F43" s="49">
        <f>'[1]BS &amp; P&amp;L &amp; Stats'!C6</f>
        <v>71933</v>
      </c>
      <c r="G43" s="49">
        <f>'[1]BS &amp; P&amp;L &amp; Stats'!D6</f>
        <v>84757</v>
      </c>
      <c r="H43" s="49">
        <f>'[1]BS &amp; P&amp;L &amp; Stats'!E6</f>
        <v>73326</v>
      </c>
      <c r="I43" s="49">
        <f>'[1]BS &amp; P&amp;L &amp; Stats'!F6</f>
        <v>79839</v>
      </c>
      <c r="J43" s="50">
        <f>'[1]BS &amp; P&amp;L &amp; Stats'!G6</f>
        <v>146371</v>
      </c>
      <c r="K43" s="49">
        <f>'[1]BS &amp; P&amp;L &amp; Stats'!H6</f>
        <v>165960</v>
      </c>
      <c r="L43" s="49">
        <f>'[1]BS &amp; P&amp;L &amp; Stats'!I6</f>
        <v>175006</v>
      </c>
      <c r="M43" s="49">
        <f>'[1]BS &amp; P&amp;L &amp; Stats'!J6</f>
        <v>168824</v>
      </c>
      <c r="N43" s="49">
        <f>'[1]BS &amp; P&amp;L &amp; Stats'!K6</f>
        <v>185470</v>
      </c>
      <c r="O43" s="49">
        <f>'[1]BS &amp; P&amp;L &amp; Stats'!L6</f>
        <v>189687</v>
      </c>
    </row>
    <row r="44" spans="1:15" ht="18" customHeight="1" x14ac:dyDescent="0.3">
      <c r="A44" s="3"/>
      <c r="B44" s="30" t="str">
        <f>'[1]BS &amp; P&amp;L &amp; Stats'!A14</f>
        <v>Profit before Int, Depn &amp; Tax</v>
      </c>
      <c r="E44" s="51">
        <f>'[1]BS &amp; P&amp;L &amp; Stats'!B14</f>
        <v>12308</v>
      </c>
      <c r="F44" s="51">
        <f>'[1]BS &amp; P&amp;L &amp; Stats'!C14</f>
        <v>14916</v>
      </c>
      <c r="G44" s="51">
        <f>'[1]BS &amp; P&amp;L &amp; Stats'!D14</f>
        <v>18930</v>
      </c>
      <c r="H44" s="51">
        <f>'[1]BS &amp; P&amp;L &amp; Stats'!E14</f>
        <v>11813</v>
      </c>
      <c r="I44" s="51">
        <f>'[1]BS &amp; P&amp;L &amp; Stats'!F14</f>
        <v>20178</v>
      </c>
      <c r="J44" s="52">
        <f>'[1]BS &amp; P&amp;L &amp; Stats'!G14</f>
        <v>39114</v>
      </c>
      <c r="K44" s="51">
        <f>'[1]BS &amp; P&amp;L &amp; Stats'!H14</f>
        <v>18470</v>
      </c>
      <c r="L44" s="51">
        <f>'[1]BS &amp; P&amp;L &amp; Stats'!I14</f>
        <v>28157</v>
      </c>
      <c r="M44" s="51">
        <f>'[1]BS &amp; P&amp;L &amp; Stats'!J14</f>
        <v>22725</v>
      </c>
      <c r="N44" s="51">
        <f>'[1]BS &amp; P&amp;L &amp; Stats'!K14</f>
        <v>29464</v>
      </c>
      <c r="O44" s="51">
        <f>'[1]BS &amp; P&amp;L &amp; Stats'!L14</f>
        <v>31155</v>
      </c>
    </row>
    <row r="45" spans="1:15" ht="18" customHeight="1" x14ac:dyDescent="0.3">
      <c r="A45" s="3"/>
      <c r="B45" s="53" t="str">
        <f>'[1]BS &amp; P&amp;L &amp; Stats'!A15</f>
        <v>OPM (%)</v>
      </c>
      <c r="E45" s="54">
        <f>'[1]BS &amp; P&amp;L &amp; Stats'!B15</f>
        <v>0.22135098194374506</v>
      </c>
      <c r="F45" s="54">
        <f>'[1]BS &amp; P&amp;L &amp; Stats'!C15</f>
        <v>0.20735962631893567</v>
      </c>
      <c r="G45" s="54">
        <f>'[1]BS &amp; P&amp;L &amp; Stats'!D15</f>
        <v>0.22334438453461072</v>
      </c>
      <c r="H45" s="54">
        <f>'[1]BS &amp; P&amp;L &amp; Stats'!E15</f>
        <v>0.16110247388375201</v>
      </c>
      <c r="I45" s="54">
        <f>'[1]BS &amp; P&amp;L &amp; Stats'!F15</f>
        <v>0.25273362642317665</v>
      </c>
      <c r="J45" s="55">
        <f>'[1]BS &amp; P&amp;L &amp; Stats'!G15</f>
        <v>0.26722506507436583</v>
      </c>
      <c r="K45" s="54">
        <f>'[1]BS &amp; P&amp;L &amp; Stats'!H15</f>
        <v>0.11129187756085804</v>
      </c>
      <c r="L45" s="54">
        <f>'[1]BS &amp; P&amp;L &amp; Stats'!I15</f>
        <v>0.16089162657280323</v>
      </c>
      <c r="M45" s="54">
        <f>'[1]BS &amp; P&amp;L &amp; Stats'!J15</f>
        <v>0.134607638724352</v>
      </c>
      <c r="N45" s="54">
        <f>'[1]BS &amp; P&amp;L &amp; Stats'!K15</f>
        <v>0.15886127136464118</v>
      </c>
      <c r="O45" s="54">
        <f>'[1]BS &amp; P&amp;L &amp; Stats'!L15</f>
        <v>0.16424425500956841</v>
      </c>
    </row>
    <row r="46" spans="1:15" ht="18" customHeight="1" x14ac:dyDescent="0.3">
      <c r="A46" s="3"/>
      <c r="B46" s="30" t="s">
        <v>45</v>
      </c>
      <c r="E46" s="51">
        <f>'[1]BS &amp; P&amp;L &amp; Stats'!B24</f>
        <v>3523</v>
      </c>
      <c r="F46" s="51">
        <f>'[1]BS &amp; P&amp;L &amp; Stats'!C24</f>
        <v>6214</v>
      </c>
      <c r="G46" s="51">
        <f>'[1]BS &amp; P&amp;L &amp; Stats'!D24</f>
        <v>7639</v>
      </c>
      <c r="H46" s="51">
        <f>'[1]BS &amp; P&amp;L &amp; Stats'!E24</f>
        <v>4030</v>
      </c>
      <c r="I46" s="51">
        <f>'[1]BS &amp; P&amp;L &amp; Stats'!F24</f>
        <v>7911</v>
      </c>
      <c r="J46" s="52">
        <f>'[1]BS &amp; P&amp;L &amp; Stats'!G24</f>
        <v>20665</v>
      </c>
      <c r="K46" s="51">
        <f>'[1]BS &amp; P&amp;L &amp; Stats'!H24</f>
        <v>4144</v>
      </c>
      <c r="L46" s="51">
        <f>'[1]BS &amp; P&amp;L &amp; Stats'!I24</f>
        <v>8812</v>
      </c>
      <c r="M46" s="51">
        <f>'[1]BS &amp; P&amp;L &amp; Stats'!J24</f>
        <v>3504</v>
      </c>
      <c r="N46" s="51">
        <f>'[1]BS &amp; P&amp;L &amp; Stats'!K24</f>
        <v>22316</v>
      </c>
      <c r="O46" s="51">
        <f>'[1]BS &amp; P&amp;L &amp; Stats'!L24</f>
        <v>24783</v>
      </c>
    </row>
    <row r="47" spans="1:15" ht="18" customHeight="1" x14ac:dyDescent="0.3">
      <c r="A47" s="3"/>
      <c r="B47" s="53" t="s">
        <v>46</v>
      </c>
      <c r="C47" s="45"/>
      <c r="D47" s="45"/>
      <c r="E47" s="54">
        <f>'[1]BS &amp; P&amp;L &amp; Stats'!B25</f>
        <v>6.3358751168980654E-2</v>
      </c>
      <c r="F47" s="54">
        <f>'[1]BS &amp; P&amp;L &amp; Stats'!C25</f>
        <v>8.6385942474246871E-2</v>
      </c>
      <c r="G47" s="54">
        <f>'[1]BS &amp; P&amp;L &amp; Stats'!D25</f>
        <v>9.0128248994183369E-2</v>
      </c>
      <c r="H47" s="54">
        <f>'[1]BS &amp; P&amp;L &amp; Stats'!E25</f>
        <v>5.4960041458691322E-2</v>
      </c>
      <c r="I47" s="54">
        <f>'[1]BS &amp; P&amp;L &amp; Stats'!F25</f>
        <v>9.9086912411227593E-2</v>
      </c>
      <c r="J47" s="55">
        <f>'[1]BS &amp; P&amp;L &amp; Stats'!G25</f>
        <v>0.14118233803144065</v>
      </c>
      <c r="K47" s="54">
        <f>'[1]BS &amp; P&amp;L &amp; Stats'!H25</f>
        <v>2.4969872258375513E-2</v>
      </c>
      <c r="L47" s="54">
        <f>'[1]BS &amp; P&amp;L &amp; Stats'!I25</f>
        <v>5.0352559340822597E-2</v>
      </c>
      <c r="M47" s="54">
        <f>'[1]BS &amp; P&amp;L &amp; Stats'!J25</f>
        <v>2.0755342842249919E-2</v>
      </c>
      <c r="N47" s="54">
        <f>'[1]BS &amp; P&amp;L &amp; Stats'!K25</f>
        <v>0.12032134577020542</v>
      </c>
      <c r="O47" s="54">
        <f>'[1]BS &amp; P&amp;L &amp; Stats'!L25</f>
        <v>0.13065207420645589</v>
      </c>
    </row>
    <row r="48" spans="1:15" ht="18" customHeight="1" x14ac:dyDescent="0.3">
      <c r="A48" s="3"/>
      <c r="B48" s="53"/>
      <c r="C48" s="53"/>
      <c r="D48" s="53"/>
      <c r="E48" s="53"/>
      <c r="F48" s="53"/>
      <c r="G48" s="53"/>
      <c r="H48" s="53"/>
      <c r="I48" s="53"/>
      <c r="J48" s="56"/>
      <c r="K48" s="53"/>
      <c r="L48" s="53"/>
      <c r="M48" s="53"/>
      <c r="N48" s="53"/>
      <c r="O48" s="53"/>
    </row>
    <row r="49" spans="1:18" ht="18" customHeight="1" x14ac:dyDescent="0.3">
      <c r="A49" s="3"/>
      <c r="B49" s="27" t="s">
        <v>47</v>
      </c>
      <c r="C49" s="27"/>
      <c r="D49" s="27"/>
      <c r="E49" s="28">
        <f>'[1]BS &amp; P&amp;L &amp; Stats'!B30</f>
        <v>45565</v>
      </c>
      <c r="F49" s="28">
        <f>'[1]BS &amp; P&amp;L &amp; Stats'!C30</f>
        <v>45657</v>
      </c>
      <c r="G49" s="28">
        <f>'[1]BS &amp; P&amp;L &amp; Stats'!D30</f>
        <v>45747</v>
      </c>
      <c r="H49" s="28">
        <f>'[1]BS &amp; P&amp;L &amp; Stats'!E30</f>
        <v>45838</v>
      </c>
      <c r="I49" s="28">
        <f>'[1]BS &amp; P&amp;L &amp; Stats'!F30</f>
        <v>45930</v>
      </c>
      <c r="J49" s="29">
        <f>'[1]BS &amp; P&amp;L &amp; Stats'!G30</f>
        <v>46022</v>
      </c>
      <c r="K49" s="28">
        <f>'[1]BS &amp; P&amp;L &amp; Stats'!H30</f>
        <v>46112</v>
      </c>
      <c r="L49" s="28">
        <f>'[1]BS &amp; P&amp;L &amp; Stats'!I30</f>
        <v>46203</v>
      </c>
      <c r="M49" s="28" t="str">
        <f>'[1]BS &amp; P&amp;L &amp; Stats'!J30</f>
        <v>TTM</v>
      </c>
      <c r="N49" s="28" t="str">
        <f>'[1]BS &amp; P&amp;L &amp; Stats'!K30</f>
        <v>TTM (-) 1</v>
      </c>
      <c r="O49" s="28" t="str">
        <f>'[1]BS &amp; P&amp;L &amp; Stats'!L30</f>
        <v>Growth</v>
      </c>
    </row>
    <row r="50" spans="1:18" ht="18" customHeight="1" x14ac:dyDescent="0.3">
      <c r="A50" s="3"/>
      <c r="B50" s="30" t="str">
        <f>'[1]BS &amp; P&amp;L &amp; Stats'!A31</f>
        <v>Sales</v>
      </c>
      <c r="E50" s="57">
        <f>'[1]BS &amp; P&amp;L &amp; Stats'!B31</f>
        <v>39684</v>
      </c>
      <c r="F50" s="57">
        <f>'[1]BS &amp; P&amp;L &amp; Stats'!C31</f>
        <v>41378</v>
      </c>
      <c r="G50" s="57">
        <f>'[1]BS &amp; P&amp;L &amp; Stats'!D31</f>
        <v>44819</v>
      </c>
      <c r="H50" s="57">
        <f>'[1]BS &amp; P&amp;L &amp; Stats'!E31</f>
        <v>43147</v>
      </c>
      <c r="I50" s="57">
        <f>'[1]BS &amp; P&amp;L &amp; Stats'!F31</f>
        <v>45152</v>
      </c>
      <c r="J50" s="58">
        <f>'[1]BS &amp; P&amp;L &amp; Stats'!G31</f>
        <v>45991</v>
      </c>
      <c r="K50" s="57">
        <f>'[1]BS &amp; P&amp;L &amp; Stats'!H31</f>
        <v>51180</v>
      </c>
      <c r="L50" s="57">
        <f>'[1]BS &amp; P&amp;L &amp; Stats'!I31</f>
        <v>47364</v>
      </c>
      <c r="M50" s="59">
        <f>'[1]BS &amp; P&amp;L &amp; Stats'!J31</f>
        <v>189687</v>
      </c>
      <c r="N50" s="59">
        <f>'[1]BS &amp; P&amp;L &amp; Stats'!K31</f>
        <v>169028</v>
      </c>
      <c r="O50" s="60">
        <f>'[1]BS &amp; P&amp;L &amp; Stats'!L31</f>
        <v>0.12222235369287929</v>
      </c>
    </row>
    <row r="51" spans="1:18" ht="18" customHeight="1" x14ac:dyDescent="0.3">
      <c r="A51" s="3"/>
      <c r="B51" s="30" t="str">
        <f>'[1]BS &amp; P&amp;L &amp; Stats'!A33</f>
        <v>Profit before Int, Depn &amp; Tax</v>
      </c>
      <c r="E51" s="61">
        <f>'[1]BS &amp; P&amp;L &amp; Stats'!B33</f>
        <v>5375</v>
      </c>
      <c r="F51" s="61">
        <f>'[1]BS &amp; P&amp;L &amp; Stats'!C33</f>
        <v>5579</v>
      </c>
      <c r="G51" s="61">
        <f>'[1]BS &amp; P&amp;L &amp; Stats'!D33</f>
        <v>6135</v>
      </c>
      <c r="H51" s="61">
        <f>'[1]BS &amp; P&amp;L &amp; Stats'!E33</f>
        <v>7476</v>
      </c>
      <c r="I51" s="61">
        <f>'[1]BS &amp; P&amp;L &amp; Stats'!F33</f>
        <v>7027</v>
      </c>
      <c r="J51" s="62">
        <f>'[1]BS &amp; P&amp;L &amp; Stats'!G33</f>
        <v>6379</v>
      </c>
      <c r="K51" s="61">
        <f>'[1]BS &amp; P&amp;L &amp; Stats'!H33</f>
        <v>8464</v>
      </c>
      <c r="L51" s="61">
        <f>'[1]BS &amp; P&amp;L &amp; Stats'!I33</f>
        <v>9285</v>
      </c>
      <c r="M51" s="61">
        <f>'[1]BS &amp; P&amp;L &amp; Stats'!J33</f>
        <v>31155</v>
      </c>
      <c r="N51" s="59">
        <f>'[1]BS &amp; P&amp;L &amp; Stats'!K33</f>
        <v>24565</v>
      </c>
      <c r="O51" s="60">
        <f>'[1]BS &amp; P&amp;L &amp; Stats'!L33</f>
        <v>0.26826786077752901</v>
      </c>
    </row>
    <row r="52" spans="1:18" ht="18" customHeight="1" x14ac:dyDescent="0.3">
      <c r="A52" s="3"/>
      <c r="B52" s="53" t="str">
        <f>'[1]BS &amp; P&amp;L &amp; Stats'!A34</f>
        <v>OPM (%)</v>
      </c>
      <c r="E52" s="63">
        <f>'[1]BS &amp; P&amp;L &amp; Stats'!B34</f>
        <v>0.13544501562342506</v>
      </c>
      <c r="F52" s="63">
        <f>'[1]BS &amp; P&amp;L &amp; Stats'!C34</f>
        <v>0.1348301029532602</v>
      </c>
      <c r="G52" s="63">
        <f>'[1]BS &amp; P&amp;L &amp; Stats'!D34</f>
        <v>0.13688391084138424</v>
      </c>
      <c r="H52" s="63">
        <f>'[1]BS &amp; P&amp;L &amp; Stats'!E34</f>
        <v>0.17326812988156767</v>
      </c>
      <c r="I52" s="63">
        <f>'[1]BS &amp; P&amp;L &amp; Stats'!F34</f>
        <v>0.15562987243090007</v>
      </c>
      <c r="J52" s="64">
        <f>'[1]BS &amp; P&amp;L &amp; Stats'!G34</f>
        <v>0.13870105020547499</v>
      </c>
      <c r="K52" s="63">
        <f>'[1]BS &amp; P&amp;L &amp; Stats'!H34</f>
        <v>0.1653771004298554</v>
      </c>
      <c r="L52" s="63">
        <f>'[1]BS &amp; P&amp;L &amp; Stats'!I34</f>
        <v>0.19603496326323791</v>
      </c>
      <c r="M52" s="63">
        <f>'[1]BS &amp; P&amp;L &amp; Stats'!J34</f>
        <v>0.16424425500956841</v>
      </c>
      <c r="N52" s="63">
        <f>'[1]BS &amp; P&amp;L &amp; Stats'!K34</f>
        <v>0.14533095108502733</v>
      </c>
    </row>
    <row r="53" spans="1:18" ht="18" customHeight="1" x14ac:dyDescent="0.3">
      <c r="A53" s="3"/>
      <c r="B53" s="30" t="str">
        <f>'[1]BS &amp; P&amp;L &amp; Stats'!A41</f>
        <v>Net profit</v>
      </c>
      <c r="E53" s="61">
        <f>'[1]BS &amp; P&amp;L &amp; Stats'!B41</f>
        <v>439</v>
      </c>
      <c r="F53" s="61">
        <f>'[1]BS &amp; P&amp;L &amp; Stats'!C41</f>
        <v>717</v>
      </c>
      <c r="G53" s="61">
        <f>'[1]BS &amp; P&amp;L &amp; Stats'!D41</f>
        <v>1503</v>
      </c>
      <c r="H53" s="61">
        <f>'[1]BS &amp; P&amp;L &amp; Stats'!E41</f>
        <v>2184</v>
      </c>
      <c r="I53" s="61">
        <f>'[1]BS &amp; P&amp;L &amp; Stats'!F41</f>
        <v>1623</v>
      </c>
      <c r="J53" s="62">
        <f>'[1]BS &amp; P&amp;L &amp; Stats'!G41</f>
        <v>2139</v>
      </c>
      <c r="K53" s="61">
        <f>'[1]BS &amp; P&amp;L &amp; Stats'!H41</f>
        <v>16370</v>
      </c>
      <c r="L53" s="61">
        <f>'[1]BS &amp; P&amp;L &amp; Stats'!I41</f>
        <v>4651</v>
      </c>
      <c r="M53" s="61">
        <f>'[1]BS &amp; P&amp;L &amp; Stats'!J41</f>
        <v>24783</v>
      </c>
      <c r="N53" s="59">
        <f>'[1]BS &amp; P&amp;L &amp; Stats'!K41</f>
        <v>4843</v>
      </c>
      <c r="O53" s="60">
        <f>'[1]BS &amp; P&amp;L &amp; Stats'!L41</f>
        <v>4.1172826760272558</v>
      </c>
    </row>
    <row r="54" spans="1:18" ht="18" customHeight="1" x14ac:dyDescent="0.3">
      <c r="A54" s="3"/>
      <c r="B54" s="53" t="str">
        <f>'[1]BS &amp; P&amp;L &amp; Stats'!A42</f>
        <v>NPM (%)</v>
      </c>
      <c r="C54" s="45"/>
      <c r="D54" s="45"/>
      <c r="E54" s="63">
        <f>'[1]BS &amp; P&amp;L &amp; Stats'!B42</f>
        <v>1.1062392903941135E-2</v>
      </c>
      <c r="F54" s="63">
        <f>'[1]BS &amp; P&amp;L &amp; Stats'!C42</f>
        <v>1.7328048721542848E-2</v>
      </c>
      <c r="G54" s="63">
        <f>'[1]BS &amp; P&amp;L &amp; Stats'!D42</f>
        <v>3.3534884758696086E-2</v>
      </c>
      <c r="H54" s="63">
        <f>'[1]BS &amp; P&amp;L &amp; Stats'!E42</f>
        <v>5.0617655920457971E-2</v>
      </c>
      <c r="I54" s="63">
        <f>'[1]BS &amp; P&amp;L &amp; Stats'!F42</f>
        <v>3.5945251594613752E-2</v>
      </c>
      <c r="J54" s="64">
        <f>'[1]BS &amp; P&amp;L &amp; Stats'!G42</f>
        <v>4.650909960644474E-2</v>
      </c>
      <c r="K54" s="63">
        <f>'[1]BS &amp; P&amp;L &amp; Stats'!H42</f>
        <v>0.31985150449394295</v>
      </c>
      <c r="L54" s="63">
        <f>'[1]BS &amp; P&amp;L &amp; Stats'!I42</f>
        <v>9.8196942825774847E-2</v>
      </c>
      <c r="M54" s="63">
        <f>'[1]BS &amp; P&amp;L &amp; Stats'!J42</f>
        <v>0.13065207420645589</v>
      </c>
      <c r="N54" s="63">
        <f>'[1]BS &amp; P&amp;L &amp; Stats'!K42</f>
        <v>2.8652057647253711E-2</v>
      </c>
    </row>
    <row r="55" spans="1:18" ht="18" customHeight="1" x14ac:dyDescent="0.3">
      <c r="A55" s="3"/>
      <c r="B55" s="30"/>
    </row>
    <row r="56" spans="1:18" ht="18" customHeight="1" x14ac:dyDescent="0.3">
      <c r="A56" s="41"/>
      <c r="B56" s="41"/>
      <c r="C56" s="41"/>
      <c r="D56" s="41"/>
      <c r="E56" s="41"/>
      <c r="F56" s="41"/>
      <c r="G56" s="41"/>
      <c r="H56" s="41"/>
      <c r="I56" s="41"/>
      <c r="J56" s="42"/>
      <c r="K56" s="41"/>
      <c r="L56" s="41"/>
      <c r="M56" s="41"/>
      <c r="N56" s="41"/>
      <c r="O56" s="41"/>
      <c r="P56" s="41"/>
      <c r="Q56" s="41"/>
      <c r="R56" s="41"/>
    </row>
    <row r="57" spans="1:18" ht="18" customHeight="1" x14ac:dyDescent="0.3">
      <c r="A57" s="11">
        <f>A26+1</f>
        <v>3</v>
      </c>
      <c r="B57" s="12" t="s">
        <v>48</v>
      </c>
      <c r="C57" s="12"/>
      <c r="D57" s="13"/>
      <c r="E57" s="12"/>
      <c r="F57" s="12" t="s">
        <v>49</v>
      </c>
      <c r="G57" s="12"/>
      <c r="H57" s="12"/>
      <c r="I57" s="12"/>
      <c r="J57" s="11">
        <v>1</v>
      </c>
      <c r="K57" s="11">
        <v>1</v>
      </c>
      <c r="L57" s="12"/>
      <c r="M57" s="12"/>
      <c r="N57" s="12"/>
      <c r="O57" s="12"/>
      <c r="P57" s="12"/>
      <c r="Q57" s="43"/>
      <c r="R57" s="43"/>
    </row>
    <row r="58" spans="1:18" ht="18" customHeight="1" x14ac:dyDescent="0.3">
      <c r="A58" s="11"/>
      <c r="B58" s="12"/>
      <c r="C58" s="12"/>
      <c r="D58" s="13"/>
      <c r="E58" s="12"/>
      <c r="F58" s="12"/>
      <c r="G58" s="12"/>
      <c r="H58" s="12"/>
      <c r="I58" s="12"/>
      <c r="J58" s="11"/>
      <c r="K58" s="11"/>
      <c r="L58" s="12"/>
      <c r="M58" s="12"/>
      <c r="N58" s="12"/>
      <c r="O58" s="12"/>
      <c r="P58" s="12"/>
      <c r="Q58" s="43"/>
      <c r="R58" s="43"/>
    </row>
    <row r="59" spans="1:18" ht="18" customHeight="1" x14ac:dyDescent="0.3">
      <c r="A59" s="11"/>
      <c r="B59" s="12"/>
      <c r="C59" s="12"/>
      <c r="D59" s="13"/>
      <c r="E59" s="12"/>
      <c r="F59" s="12"/>
      <c r="G59" s="12"/>
      <c r="H59" s="12"/>
      <c r="I59" s="12"/>
      <c r="J59" s="11"/>
      <c r="K59" s="11"/>
      <c r="L59" s="12"/>
      <c r="M59" s="12"/>
      <c r="N59" s="12"/>
      <c r="O59" s="12"/>
      <c r="P59" s="12"/>
      <c r="Q59" s="43"/>
      <c r="R59" s="43"/>
    </row>
    <row r="60" spans="1:18" ht="18" customHeight="1" x14ac:dyDescent="0.3">
      <c r="A60" s="11"/>
      <c r="B60" s="12"/>
      <c r="C60" s="12"/>
      <c r="D60" s="13"/>
      <c r="E60" s="12"/>
      <c r="F60" s="12"/>
      <c r="G60" s="12"/>
      <c r="H60" s="12"/>
      <c r="I60" s="12"/>
      <c r="J60" s="11"/>
      <c r="K60" s="11"/>
      <c r="L60" s="12"/>
      <c r="M60" s="12"/>
      <c r="N60" s="12"/>
      <c r="O60" s="12"/>
      <c r="P60" s="12"/>
      <c r="Q60" s="43"/>
      <c r="R60" s="43"/>
    </row>
    <row r="61" spans="1:18" ht="18" customHeight="1" x14ac:dyDescent="0.3">
      <c r="A61" s="7"/>
      <c r="B61" s="15"/>
      <c r="C61" s="7"/>
      <c r="D61" s="7"/>
      <c r="E61" s="7"/>
      <c r="F61" s="7"/>
      <c r="G61" s="7"/>
      <c r="H61" s="7"/>
      <c r="I61" s="7"/>
      <c r="J61" s="10"/>
      <c r="K61" s="7"/>
      <c r="L61" s="7"/>
      <c r="M61" s="7"/>
      <c r="N61" s="7"/>
      <c r="O61" s="7"/>
      <c r="P61" s="7"/>
      <c r="Q61" s="16"/>
      <c r="R61" s="16"/>
    </row>
    <row r="62" spans="1:18" ht="18" customHeight="1" x14ac:dyDescent="0.3">
      <c r="A62" s="3"/>
      <c r="E62" s="19" t="s">
        <v>50</v>
      </c>
      <c r="F62" s="19" t="s">
        <v>51</v>
      </c>
      <c r="G62" s="19" t="s">
        <v>25</v>
      </c>
      <c r="H62" s="65"/>
      <c r="I62" s="65"/>
    </row>
    <row r="63" spans="1:18" ht="18" customHeight="1" x14ac:dyDescent="0.3">
      <c r="A63" s="3" t="s">
        <v>13</v>
      </c>
      <c r="B63" s="2" t="s">
        <v>52</v>
      </c>
      <c r="E63" s="21">
        <f>'[1]BS &amp; P&amp;L &amp; Stats'!K68</f>
        <v>0.55555555555555558</v>
      </c>
      <c r="F63" s="21">
        <f>'[1]BS &amp; P&amp;L &amp; Stats'!K69</f>
        <v>0.66666666666666663</v>
      </c>
      <c r="G63" s="21">
        <f>'[1]BS &amp; P&amp;L &amp; Stats'!K70</f>
        <v>0</v>
      </c>
    </row>
    <row r="64" spans="1:18" ht="18" customHeight="1" x14ac:dyDescent="0.3">
      <c r="A64" s="3"/>
      <c r="B64" s="2" t="s">
        <v>53</v>
      </c>
      <c r="E64" s="23">
        <f>'[1]BS &amp; P&amp;L &amp; Stats'!I68</f>
        <v>5</v>
      </c>
      <c r="F64" s="23">
        <f>'[1]BS &amp; P&amp;L &amp; Stats'!I69</f>
        <v>2</v>
      </c>
      <c r="G64" s="23">
        <f>'[1]BS &amp; P&amp;L &amp; Stats'!I70</f>
        <v>0</v>
      </c>
    </row>
    <row r="65" spans="1:18" ht="18" customHeight="1" x14ac:dyDescent="0.3">
      <c r="A65" s="3"/>
    </row>
    <row r="66" spans="1:18" ht="18" customHeight="1" x14ac:dyDescent="0.3">
      <c r="A66" s="3"/>
      <c r="B66" s="27" t="s">
        <v>48</v>
      </c>
      <c r="C66" s="27"/>
      <c r="D66" s="27"/>
      <c r="E66" s="28">
        <f>'[1]Data Sheet'!$B$16</f>
        <v>42825</v>
      </c>
      <c r="F66" s="28">
        <f>'[1]Data Sheet'!$C$16</f>
        <v>43190</v>
      </c>
      <c r="G66" s="28">
        <f>'[1]Data Sheet'!$D$16</f>
        <v>43555</v>
      </c>
      <c r="H66" s="28">
        <f>'[1]Data Sheet'!$E$16</f>
        <v>43921</v>
      </c>
      <c r="I66" s="28">
        <f>'[1]Data Sheet'!$F$16</f>
        <v>44286</v>
      </c>
      <c r="J66" s="29">
        <f>'[1]Data Sheet'!$G$16</f>
        <v>44651</v>
      </c>
      <c r="K66" s="28">
        <f>'[1]Data Sheet'!$H$16</f>
        <v>45016</v>
      </c>
      <c r="L66" s="28">
        <f>'[1]Data Sheet'!$I$16</f>
        <v>45382</v>
      </c>
      <c r="M66" s="28">
        <f>'[1]Data Sheet'!$J$16</f>
        <v>45747</v>
      </c>
      <c r="N66" s="28">
        <f>'[1]Data Sheet'!$K$16</f>
        <v>46112</v>
      </c>
      <c r="O66" s="28" t="s">
        <v>25</v>
      </c>
    </row>
    <row r="67" spans="1:18" ht="18" customHeight="1" x14ac:dyDescent="0.3">
      <c r="A67" s="3"/>
      <c r="B67" s="30" t="str">
        <f>'[1]BS &amp; P&amp;L &amp; Stats'!A21</f>
        <v>Profit before tax</v>
      </c>
      <c r="E67" s="57">
        <f>'[1]BS &amp; P&amp;L &amp; Stats'!B21</f>
        <v>5128</v>
      </c>
      <c r="F67" s="57">
        <f>'[1]BS &amp; P&amp;L &amp; Stats'!C21</f>
        <v>7651</v>
      </c>
      <c r="G67" s="57">
        <f>'[1]BS &amp; P&amp;L &amp; Stats'!D21</f>
        <v>11168</v>
      </c>
      <c r="H67" s="57">
        <f>'[1]BS &amp; P&amp;L &amp; Stats'!E21</f>
        <v>3013</v>
      </c>
      <c r="I67" s="57">
        <f>'[1]BS &amp; P&amp;L &amp; Stats'!F21</f>
        <v>12015</v>
      </c>
      <c r="J67" s="58">
        <f>'[1]BS &amp; P&amp;L &amp; Stats'!G21</f>
        <v>29745</v>
      </c>
      <c r="K67" s="57">
        <f>'[1]BS &amp; P&amp;L &amp; Stats'!H21</f>
        <v>5655</v>
      </c>
      <c r="L67" s="57">
        <f>'[1]BS &amp; P&amp;L &amp; Stats'!I21</f>
        <v>13380</v>
      </c>
      <c r="M67" s="57">
        <f>'[1]BS &amp; P&amp;L &amp; Stats'!J21</f>
        <v>5077</v>
      </c>
      <c r="N67" s="57">
        <f>'[1]BS &amp; P&amp;L &amp; Stats'!K21</f>
        <v>29250</v>
      </c>
      <c r="O67" s="57">
        <f>'[1]BS &amp; P&amp;L &amp; Stats'!L21</f>
        <v>32338</v>
      </c>
    </row>
    <row r="68" spans="1:18" ht="18" customHeight="1" x14ac:dyDescent="0.3">
      <c r="A68" s="3"/>
      <c r="B68" s="30" t="str">
        <f>'[1]BS &amp; P&amp;L &amp; Stats'!A22</f>
        <v>Tax</v>
      </c>
      <c r="E68" s="57">
        <f>'[1]BS &amp; P&amp;L &amp; Stats'!B22</f>
        <v>1674</v>
      </c>
      <c r="F68" s="57">
        <f>'[1]BS &amp; P&amp;L &amp; Stats'!C22</f>
        <v>1538</v>
      </c>
      <c r="G68" s="57">
        <f>'[1]BS &amp; P&amp;L &amp; Stats'!D22</f>
        <v>3644</v>
      </c>
      <c r="H68" s="57">
        <f>'[1]BS &amp; P&amp;L &amp; Stats'!E22</f>
        <v>-906</v>
      </c>
      <c r="I68" s="57">
        <f>'[1]BS &amp; P&amp;L &amp; Stats'!F22</f>
        <v>4142</v>
      </c>
      <c r="J68" s="58">
        <f>'[1]BS &amp; P&amp;L &amp; Stats'!G22</f>
        <v>8807</v>
      </c>
      <c r="K68" s="57">
        <f>'[1]BS &amp; P&amp;L &amp; Stats'!H22</f>
        <v>1516</v>
      </c>
      <c r="L68" s="57">
        <f>'[1]BS &amp; P&amp;L &amp; Stats'!I22</f>
        <v>4407</v>
      </c>
      <c r="M68" s="57">
        <f>'[1]BS &amp; P&amp;L &amp; Stats'!J22</f>
        <v>1586</v>
      </c>
      <c r="N68" s="57">
        <f>'[1]BS &amp; P&amp;L &amp; Stats'!K22</f>
        <v>3742</v>
      </c>
      <c r="O68" s="57">
        <f>'[1]BS &amp; P&amp;L &amp; Stats'!L22</f>
        <v>4343</v>
      </c>
    </row>
    <row r="69" spans="1:18" ht="18" customHeight="1" x14ac:dyDescent="0.3">
      <c r="A69" s="3"/>
      <c r="B69" s="53" t="str">
        <f>'[1]BS &amp; P&amp;L &amp; Stats'!A23</f>
        <v>Tax %</v>
      </c>
      <c r="C69" s="45"/>
      <c r="D69" s="45"/>
      <c r="E69" s="63">
        <f>'[1]BS &amp; P&amp;L &amp; Stats'!B23</f>
        <v>0.32644305772230892</v>
      </c>
      <c r="F69" s="63">
        <f>'[1]BS &amp; P&amp;L &amp; Stats'!C23</f>
        <v>0.20101947457848648</v>
      </c>
      <c r="G69" s="63">
        <f>'[1]BS &amp; P&amp;L &amp; Stats'!D23</f>
        <v>0.32628939828080228</v>
      </c>
      <c r="H69" s="63" t="str">
        <f>'[1]BS &amp; P&amp;L &amp; Stats'!E23</f>
        <v>--</v>
      </c>
      <c r="I69" s="63">
        <f>'[1]BS &amp; P&amp;L &amp; Stats'!F23</f>
        <v>0.34473574698293802</v>
      </c>
      <c r="J69" s="64">
        <f>'[1]BS &amp; P&amp;L &amp; Stats'!G23</f>
        <v>0.29608337535720292</v>
      </c>
      <c r="K69" s="63">
        <f>'[1]BS &amp; P&amp;L &amp; Stats'!H23</f>
        <v>0.26808134394341293</v>
      </c>
      <c r="L69" s="63">
        <f>'[1]BS &amp; P&amp;L &amp; Stats'!I23</f>
        <v>0.32937219730941703</v>
      </c>
      <c r="M69" s="63">
        <f>'[1]BS &amp; P&amp;L &amp; Stats'!J23</f>
        <v>0.31238920622414812</v>
      </c>
      <c r="N69" s="63">
        <f>'[1]BS &amp; P&amp;L &amp; Stats'!K23</f>
        <v>0.12793162393162394</v>
      </c>
      <c r="O69" s="63">
        <f>'[1]BS &amp; P&amp;L &amp; Stats'!L23</f>
        <v>0.13430020409425444</v>
      </c>
    </row>
    <row r="70" spans="1:18" ht="18" customHeight="1" x14ac:dyDescent="0.3">
      <c r="A70" s="3"/>
    </row>
    <row r="71" spans="1:18" ht="18" customHeight="1" x14ac:dyDescent="0.3">
      <c r="A71" s="42"/>
      <c r="B71" s="41"/>
      <c r="C71" s="41"/>
      <c r="D71" s="41"/>
      <c r="E71" s="41"/>
      <c r="F71" s="41"/>
      <c r="G71" s="41"/>
      <c r="H71" s="42"/>
      <c r="I71" s="42"/>
      <c r="J71" s="42"/>
      <c r="K71" s="41"/>
      <c r="L71" s="41"/>
      <c r="M71" s="41"/>
      <c r="N71" s="41"/>
      <c r="O71" s="41"/>
      <c r="P71" s="41"/>
      <c r="Q71" s="41"/>
      <c r="R71" s="41"/>
    </row>
    <row r="72" spans="1:18" ht="18" customHeight="1" x14ac:dyDescent="0.3">
      <c r="A72" s="11">
        <f>A57+1</f>
        <v>4</v>
      </c>
      <c r="B72" s="12" t="s">
        <v>54</v>
      </c>
      <c r="C72" s="12"/>
      <c r="D72" s="13"/>
      <c r="E72" s="12"/>
      <c r="F72" s="12" t="s">
        <v>55</v>
      </c>
      <c r="G72" s="12"/>
      <c r="H72" s="12"/>
      <c r="I72" s="12"/>
      <c r="J72" s="11">
        <v>1.2</v>
      </c>
      <c r="K72" s="11">
        <v>2</v>
      </c>
      <c r="L72" s="12"/>
      <c r="M72" s="12"/>
      <c r="N72" s="12"/>
      <c r="O72" s="12"/>
      <c r="P72" s="12"/>
      <c r="Q72" s="43"/>
      <c r="R72" s="43"/>
    </row>
    <row r="73" spans="1:18" ht="18" customHeight="1" x14ac:dyDescent="0.3">
      <c r="A73" s="11"/>
      <c r="B73" s="12"/>
      <c r="C73" s="12"/>
      <c r="D73" s="13"/>
      <c r="E73" s="12"/>
      <c r="F73" s="12"/>
      <c r="G73" s="12"/>
      <c r="H73" s="12"/>
      <c r="I73" s="12"/>
      <c r="J73" s="11"/>
      <c r="K73" s="11"/>
      <c r="L73" s="12"/>
      <c r="M73" s="12"/>
      <c r="N73" s="12"/>
      <c r="O73" s="12"/>
      <c r="P73" s="12"/>
      <c r="Q73" s="43"/>
      <c r="R73" s="43"/>
    </row>
    <row r="74" spans="1:18" ht="18" customHeight="1" x14ac:dyDescent="0.3">
      <c r="A74" s="11"/>
      <c r="B74" s="12"/>
      <c r="C74" s="12"/>
      <c r="D74" s="13"/>
      <c r="E74" s="12"/>
      <c r="F74" s="12"/>
      <c r="G74" s="12"/>
      <c r="H74" s="12"/>
      <c r="I74" s="12"/>
      <c r="J74" s="11"/>
      <c r="K74" s="11"/>
      <c r="L74" s="12"/>
      <c r="M74" s="12"/>
      <c r="N74" s="12"/>
      <c r="O74" s="12"/>
      <c r="P74" s="12"/>
      <c r="Q74" s="43"/>
      <c r="R74" s="43"/>
    </row>
    <row r="75" spans="1:18" ht="18" customHeight="1" x14ac:dyDescent="0.3">
      <c r="A75" s="11"/>
      <c r="B75" s="12"/>
      <c r="C75" s="12"/>
      <c r="D75" s="13"/>
      <c r="E75" s="12"/>
      <c r="F75" s="12"/>
      <c r="G75" s="12"/>
      <c r="H75" s="12"/>
      <c r="I75" s="12"/>
      <c r="J75" s="11"/>
      <c r="K75" s="11"/>
      <c r="L75" s="12"/>
      <c r="M75" s="12"/>
      <c r="N75" s="12"/>
      <c r="O75" s="12"/>
      <c r="P75" s="12"/>
      <c r="Q75" s="43"/>
      <c r="R75" s="43"/>
    </row>
    <row r="76" spans="1:18" ht="18" customHeight="1" x14ac:dyDescent="0.3">
      <c r="A76" s="7"/>
      <c r="B76" s="15"/>
      <c r="C76" s="7"/>
      <c r="D76" s="7"/>
      <c r="E76" s="7"/>
      <c r="F76" s="7"/>
      <c r="G76" s="7"/>
      <c r="H76" s="7"/>
      <c r="I76" s="7"/>
      <c r="J76" s="10"/>
      <c r="K76" s="7"/>
      <c r="L76" s="7"/>
      <c r="M76" s="7"/>
      <c r="N76" s="7"/>
      <c r="O76" s="7"/>
      <c r="P76" s="7"/>
      <c r="Q76" s="16"/>
      <c r="R76" s="16"/>
    </row>
    <row r="77" spans="1:18" ht="18" customHeight="1" x14ac:dyDescent="0.3">
      <c r="A77" s="3"/>
      <c r="E77" s="65" t="s">
        <v>50</v>
      </c>
      <c r="F77" s="65" t="s">
        <v>51</v>
      </c>
      <c r="G77" s="65" t="s">
        <v>25</v>
      </c>
      <c r="H77" s="65"/>
      <c r="I77" s="65"/>
    </row>
    <row r="78" spans="1:18" ht="18" customHeight="1" x14ac:dyDescent="0.3">
      <c r="A78" s="3" t="s">
        <v>13</v>
      </c>
      <c r="B78" s="2" t="s">
        <v>56</v>
      </c>
      <c r="E78" s="21">
        <f>'[1]BS &amp; P&amp;L &amp; Stats'!D74</f>
        <v>0.5</v>
      </c>
      <c r="F78" s="21">
        <f>'[1]BS &amp; P&amp;L &amp; Stats'!D75</f>
        <v>0.33333333333333331</v>
      </c>
      <c r="G78" s="21">
        <f>'[1]BS &amp; P&amp;L &amp; Stats'!D76</f>
        <v>1</v>
      </c>
    </row>
    <row r="79" spans="1:18" ht="18" customHeight="1" x14ac:dyDescent="0.3">
      <c r="A79" s="3"/>
      <c r="B79" s="2" t="s">
        <v>57</v>
      </c>
      <c r="E79" s="23">
        <f>'[1]BS &amp; P&amp;L &amp; Stats'!B74</f>
        <v>5</v>
      </c>
      <c r="F79" s="23">
        <f>'[1]BS &amp; P&amp;L &amp; Stats'!B75</f>
        <v>1</v>
      </c>
      <c r="G79" s="23">
        <f>'[1]BS &amp; P&amp;L &amp; Stats'!B76</f>
        <v>1</v>
      </c>
    </row>
    <row r="80" spans="1:18" ht="18" customHeight="1" x14ac:dyDescent="0.3">
      <c r="A80" s="3"/>
    </row>
    <row r="81" spans="1:18" ht="18" customHeight="1" x14ac:dyDescent="0.3">
      <c r="A81" s="3"/>
      <c r="B81" s="66" t="s">
        <v>54</v>
      </c>
      <c r="C81" s="67"/>
      <c r="D81" s="67"/>
      <c r="E81" s="27">
        <f>'[1]Data Sheet'!$B$16</f>
        <v>42825</v>
      </c>
      <c r="F81" s="27">
        <f>'[1]Data Sheet'!$C$16</f>
        <v>43190</v>
      </c>
      <c r="G81" s="27">
        <f>'[1]Data Sheet'!$D$16</f>
        <v>43555</v>
      </c>
      <c r="H81" s="27">
        <f>'[1]Data Sheet'!$E$16</f>
        <v>43921</v>
      </c>
      <c r="I81" s="27">
        <f>'[1]Data Sheet'!$F$16</f>
        <v>44286</v>
      </c>
      <c r="J81" s="29">
        <f>'[1]Data Sheet'!$G$16</f>
        <v>44651</v>
      </c>
      <c r="K81" s="27">
        <f>'[1]Data Sheet'!$H$16</f>
        <v>45016</v>
      </c>
      <c r="L81" s="27">
        <f>'[1]Data Sheet'!$I$16</f>
        <v>45382</v>
      </c>
      <c r="M81" s="27">
        <f>'[1]Data Sheet'!$J$16</f>
        <v>45747</v>
      </c>
      <c r="N81" s="27">
        <f>'[1]Data Sheet'!$K$16</f>
        <v>46112</v>
      </c>
      <c r="O81" s="28" t="s">
        <v>25</v>
      </c>
    </row>
    <row r="82" spans="1:18" ht="18" customHeight="1" x14ac:dyDescent="0.3">
      <c r="A82" s="3"/>
      <c r="B82" s="68" t="str">
        <f>'[1]BS &amp; P&amp;L &amp; Stats'!A18</f>
        <v>Profit Before Int &amp; tax</v>
      </c>
      <c r="E82" s="31">
        <f>'[1]BS &amp; P&amp;L &amp; Stats'!B18</f>
        <v>8896</v>
      </c>
      <c r="F82" s="31">
        <f>'[1]BS &amp; P&amp;L &amp; Stats'!C18</f>
        <v>11352</v>
      </c>
      <c r="G82" s="31">
        <f>'[1]BS &amp; P&amp;L &amp; Stats'!D18</f>
        <v>15085</v>
      </c>
      <c r="H82" s="31">
        <f>'[1]BS &amp; P&amp;L &amp; Stats'!E18</f>
        <v>7278</v>
      </c>
      <c r="I82" s="31">
        <f>'[1]BS &amp; P&amp;L &amp; Stats'!F18</f>
        <v>15972</v>
      </c>
      <c r="J82" s="32">
        <f>'[1]BS &amp; P&amp;L &amp; Stats'!G18</f>
        <v>34713</v>
      </c>
      <c r="K82" s="31">
        <f>'[1]BS &amp; P&amp;L &amp; Stats'!H18</f>
        <v>12557</v>
      </c>
      <c r="L82" s="31">
        <f>'[1]BS &amp; P&amp;L &amp; Stats'!I18</f>
        <v>21485</v>
      </c>
      <c r="M82" s="31">
        <f>'[1]BS &amp; P&amp;L &amp; Stats'!J18</f>
        <v>13489</v>
      </c>
      <c r="N82" s="31">
        <f>'[1]BS &amp; P&amp;L &amp; Stats'!K18</f>
        <v>38352</v>
      </c>
      <c r="O82" s="69">
        <f>'[1]BS &amp; P&amp;L &amp; Stats'!L18</f>
        <v>40935</v>
      </c>
    </row>
    <row r="83" spans="1:18" ht="18" customHeight="1" x14ac:dyDescent="0.3">
      <c r="A83" s="3"/>
      <c r="B83" s="68" t="str">
        <f>'[1]BS &amp; P&amp;L &amp; Stats'!A19</f>
        <v>Interest</v>
      </c>
      <c r="E83" s="69">
        <f>'[1]BS &amp; P&amp;L &amp; Stats'!B19</f>
        <v>3768</v>
      </c>
      <c r="F83" s="69">
        <f>'[1]BS &amp; P&amp;L &amp; Stats'!C19</f>
        <v>3701</v>
      </c>
      <c r="G83" s="69">
        <f>'[1]BS &amp; P&amp;L &amp; Stats'!D19</f>
        <v>3917</v>
      </c>
      <c r="H83" s="69">
        <f>'[1]BS &amp; P&amp;L &amp; Stats'!E19</f>
        <v>4265</v>
      </c>
      <c r="I83" s="69">
        <f>'[1]BS &amp; P&amp;L &amp; Stats'!F19</f>
        <v>3957</v>
      </c>
      <c r="J83" s="70">
        <f>'[1]BS &amp; P&amp;L &amp; Stats'!G19</f>
        <v>4968</v>
      </c>
      <c r="K83" s="69">
        <f>'[1]BS &amp; P&amp;L &amp; Stats'!H19</f>
        <v>6902</v>
      </c>
      <c r="L83" s="69">
        <f>'[1]BS &amp; P&amp;L &amp; Stats'!I19</f>
        <v>8105</v>
      </c>
      <c r="M83" s="69">
        <f>'[1]BS &amp; P&amp;L &amp; Stats'!J19</f>
        <v>8412</v>
      </c>
      <c r="N83" s="69">
        <f>'[1]BS &amp; P&amp;L &amp; Stats'!K19</f>
        <v>9102</v>
      </c>
      <c r="O83" s="69">
        <f>'[1]BS &amp; P&amp;L &amp; Stats'!L19</f>
        <v>8597</v>
      </c>
    </row>
    <row r="84" spans="1:18" ht="18" customHeight="1" x14ac:dyDescent="0.3">
      <c r="A84" s="3"/>
      <c r="B84" s="68" t="str">
        <f>'[1]BS &amp; P&amp;L &amp; Stats'!A20</f>
        <v>Int. Coverage Ratio</v>
      </c>
      <c r="E84" s="71">
        <f>'[1]BS &amp; P&amp;L &amp; Stats'!B20</f>
        <v>2.3609341825902335</v>
      </c>
      <c r="F84" s="71">
        <f>'[1]BS &amp; P&amp;L &amp; Stats'!C20</f>
        <v>3.0672791137530395</v>
      </c>
      <c r="G84" s="71">
        <f>'[1]BS &amp; P&amp;L &amp; Stats'!D20</f>
        <v>3.8511616032678071</v>
      </c>
      <c r="H84" s="71">
        <f>'[1]BS &amp; P&amp;L &amp; Stats'!E20</f>
        <v>1.7064478311840563</v>
      </c>
      <c r="I84" s="71">
        <f>'[1]BS &amp; P&amp;L &amp; Stats'!F20</f>
        <v>4.0363912054586812</v>
      </c>
      <c r="J84" s="72">
        <f>'[1]BS &amp; P&amp;L &amp; Stats'!G20</f>
        <v>6.98731884057971</v>
      </c>
      <c r="K84" s="71">
        <f>'[1]BS &amp; P&amp;L &amp; Stats'!H20</f>
        <v>1.819327731092437</v>
      </c>
      <c r="L84" s="71">
        <f>'[1]BS &amp; P&amp;L &amp; Stats'!I20</f>
        <v>2.6508328192473782</v>
      </c>
      <c r="M84" s="71">
        <f>'[1]BS &amp; P&amp;L &amp; Stats'!J20</f>
        <v>1.6035425582501188</v>
      </c>
      <c r="N84" s="71">
        <f>'[1]BS &amp; P&amp;L &amp; Stats'!K20</f>
        <v>4.2135794330916285</v>
      </c>
      <c r="O84" s="71">
        <f>'[1]BS &amp; P&amp;L &amp; Stats'!L20</f>
        <v>4.7615447249040361</v>
      </c>
    </row>
    <row r="85" spans="1:18" ht="18" customHeight="1" x14ac:dyDescent="0.3">
      <c r="A85" s="3"/>
      <c r="E85" s="69"/>
      <c r="F85" s="69"/>
      <c r="G85" s="69"/>
      <c r="H85" s="69"/>
      <c r="I85" s="69"/>
      <c r="J85" s="70"/>
      <c r="K85" s="69"/>
      <c r="L85" s="69"/>
      <c r="M85" s="69"/>
      <c r="N85" s="69"/>
      <c r="O85" s="69"/>
      <c r="P85" s="69"/>
    </row>
    <row r="86" spans="1:18" ht="18" customHeight="1" x14ac:dyDescent="0.3">
      <c r="A86" s="42"/>
      <c r="B86" s="41"/>
      <c r="C86" s="41"/>
      <c r="D86" s="41"/>
      <c r="E86" s="73"/>
      <c r="F86" s="73"/>
      <c r="G86" s="73"/>
      <c r="H86" s="73"/>
      <c r="I86" s="73"/>
      <c r="J86" s="74"/>
      <c r="K86" s="73"/>
      <c r="L86" s="73"/>
      <c r="M86" s="73"/>
      <c r="N86" s="73"/>
      <c r="O86" s="73"/>
      <c r="P86" s="73"/>
      <c r="Q86" s="41"/>
      <c r="R86" s="41"/>
    </row>
    <row r="87" spans="1:18" ht="18" customHeight="1" x14ac:dyDescent="0.3">
      <c r="A87" s="11">
        <f>A72+1</f>
        <v>5</v>
      </c>
      <c r="B87" s="12" t="s">
        <v>58</v>
      </c>
      <c r="C87" s="12"/>
      <c r="D87" s="13"/>
      <c r="E87" s="12"/>
      <c r="F87" s="12" t="s">
        <v>59</v>
      </c>
      <c r="G87" s="12"/>
      <c r="H87" s="12"/>
      <c r="I87" s="12"/>
      <c r="J87" s="11">
        <v>0</v>
      </c>
      <c r="K87" s="11">
        <v>3</v>
      </c>
      <c r="L87" s="12"/>
      <c r="M87" s="12"/>
      <c r="N87" s="12"/>
      <c r="O87" s="12"/>
      <c r="P87" s="12"/>
      <c r="Q87" s="43"/>
      <c r="R87" s="43"/>
    </row>
    <row r="88" spans="1:18" ht="18" customHeight="1" x14ac:dyDescent="0.3">
      <c r="A88" s="75"/>
      <c r="B88" s="43"/>
      <c r="C88" s="43"/>
      <c r="D88" s="43"/>
      <c r="E88" s="43"/>
      <c r="F88" s="43"/>
      <c r="G88" s="43"/>
      <c r="H88" s="75"/>
      <c r="I88" s="75"/>
      <c r="J88" s="11"/>
      <c r="K88" s="11"/>
      <c r="L88" s="12"/>
      <c r="M88" s="12"/>
      <c r="N88" s="12"/>
      <c r="O88" s="12"/>
      <c r="P88" s="12"/>
      <c r="Q88" s="12"/>
      <c r="R88" s="43"/>
    </row>
    <row r="89" spans="1:18" ht="18" customHeight="1" x14ac:dyDescent="0.3">
      <c r="A89" s="75"/>
      <c r="B89" s="43"/>
      <c r="C89" s="43"/>
      <c r="D89" s="43"/>
      <c r="E89" s="43"/>
      <c r="F89" s="43"/>
      <c r="G89" s="43"/>
      <c r="H89" s="75"/>
      <c r="I89" s="75"/>
      <c r="J89" s="11"/>
      <c r="K89" s="11"/>
      <c r="L89" s="12"/>
      <c r="M89" s="12"/>
      <c r="N89" s="12"/>
      <c r="O89" s="12"/>
      <c r="P89" s="12"/>
      <c r="Q89" s="12"/>
      <c r="R89" s="43"/>
    </row>
    <row r="90" spans="1:18" ht="18" customHeight="1" x14ac:dyDescent="0.3">
      <c r="A90" s="75"/>
      <c r="B90" s="43"/>
      <c r="C90" s="43"/>
      <c r="D90" s="43"/>
      <c r="E90" s="43"/>
      <c r="F90" s="43"/>
      <c r="G90" s="43"/>
      <c r="H90" s="75"/>
      <c r="I90" s="75"/>
      <c r="J90" s="11"/>
      <c r="K90" s="11"/>
      <c r="L90" s="12"/>
      <c r="M90" s="12"/>
      <c r="N90" s="12"/>
      <c r="O90" s="12"/>
      <c r="P90" s="12"/>
      <c r="Q90" s="12"/>
      <c r="R90" s="43"/>
    </row>
    <row r="91" spans="1:18" ht="18" customHeight="1" x14ac:dyDescent="0.3">
      <c r="A91" s="42"/>
      <c r="B91" s="41"/>
      <c r="C91" s="41"/>
      <c r="D91" s="41"/>
      <c r="E91" s="41"/>
      <c r="F91" s="41"/>
      <c r="G91" s="41"/>
      <c r="H91" s="42"/>
      <c r="I91" s="42"/>
      <c r="J91" s="42"/>
      <c r="K91" s="41"/>
      <c r="L91" s="41"/>
      <c r="M91" s="41"/>
      <c r="N91" s="41"/>
      <c r="O91" s="41"/>
      <c r="P91" s="41"/>
      <c r="Q91" s="41"/>
      <c r="R91" s="41"/>
    </row>
    <row r="92" spans="1:18" ht="18" customHeight="1" x14ac:dyDescent="0.3">
      <c r="A92" s="3"/>
      <c r="F92" s="65" t="s">
        <v>50</v>
      </c>
      <c r="G92" s="65" t="s">
        <v>51</v>
      </c>
      <c r="H92" s="65" t="s">
        <v>60</v>
      </c>
      <c r="I92" s="65"/>
    </row>
    <row r="93" spans="1:18" ht="18" customHeight="1" x14ac:dyDescent="0.3">
      <c r="A93" s="3" t="s">
        <v>13</v>
      </c>
      <c r="B93" s="2" t="s">
        <v>61</v>
      </c>
      <c r="F93" s="21">
        <f>'[1]BS &amp; P&amp;L &amp; Stats'!K74</f>
        <v>0</v>
      </c>
      <c r="G93" s="21">
        <f>'[1]BS &amp; P&amp;L &amp; Stats'!K75</f>
        <v>0</v>
      </c>
      <c r="H93" s="21">
        <f>'[1]BS &amp; P&amp;L &amp; Stats'!K76</f>
        <v>0</v>
      </c>
      <c r="I93" s="76"/>
    </row>
    <row r="94" spans="1:18" ht="18" customHeight="1" x14ac:dyDescent="0.3">
      <c r="A94" s="3"/>
      <c r="B94" s="2" t="s">
        <v>62</v>
      </c>
      <c r="F94" s="23">
        <f>'[1]BS &amp; P&amp;L &amp; Stats'!I74</f>
        <v>0</v>
      </c>
      <c r="G94" s="23">
        <f>'[1]BS &amp; P&amp;L &amp; Stats'!I75</f>
        <v>0</v>
      </c>
      <c r="H94" s="23">
        <f>'[1]BS &amp; P&amp;L &amp; Stats'!I76</f>
        <v>0</v>
      </c>
      <c r="I94" s="2"/>
    </row>
    <row r="95" spans="1:18" ht="18" customHeight="1" x14ac:dyDescent="0.3">
      <c r="A95" s="3"/>
    </row>
    <row r="96" spans="1:18" ht="18" customHeight="1" x14ac:dyDescent="0.3">
      <c r="A96" s="3"/>
    </row>
    <row r="97" spans="1:18" ht="18" customHeight="1" x14ac:dyDescent="0.3">
      <c r="B97" s="66" t="s">
        <v>63</v>
      </c>
      <c r="C97" s="67"/>
      <c r="D97" s="67"/>
      <c r="E97" s="27">
        <f>'[1]Data Sheet'!$B$16</f>
        <v>42825</v>
      </c>
      <c r="F97" s="27">
        <f>'[1]Data Sheet'!$C$16</f>
        <v>43190</v>
      </c>
      <c r="G97" s="27">
        <f>'[1]Data Sheet'!$D$16</f>
        <v>43555</v>
      </c>
      <c r="H97" s="27">
        <f>'[1]Data Sheet'!$E$16</f>
        <v>43921</v>
      </c>
      <c r="I97" s="27">
        <f>'[1]Data Sheet'!$F$16</f>
        <v>44286</v>
      </c>
      <c r="J97" s="29">
        <f>'[1]Data Sheet'!$G$16</f>
        <v>44651</v>
      </c>
      <c r="K97" s="27">
        <f>'[1]Data Sheet'!$H$16</f>
        <v>45016</v>
      </c>
      <c r="L97" s="27">
        <f>'[1]Data Sheet'!$I$16</f>
        <v>45382</v>
      </c>
      <c r="M97" s="27">
        <f>'[1]Data Sheet'!$J$16</f>
        <v>45747</v>
      </c>
      <c r="N97" s="27">
        <f>'[1]Data Sheet'!$K$16</f>
        <v>46112</v>
      </c>
    </row>
    <row r="98" spans="1:18" ht="18" customHeight="1" x14ac:dyDescent="0.3">
      <c r="B98" s="68" t="str">
        <f>'[1]BS &amp; P&amp;L &amp; Stats'!A98</f>
        <v>Borrowings</v>
      </c>
      <c r="E98" s="31">
        <f>'[1]BS &amp; P&amp;L &amp; Stats'!B98</f>
        <v>43334</v>
      </c>
      <c r="F98" s="31">
        <f>'[1]BS &amp; P&amp;L &amp; Stats'!C98</f>
        <v>39393</v>
      </c>
      <c r="G98" s="31">
        <f>'[1]BS &amp; P&amp;L &amp; Stats'!D98</f>
        <v>47396</v>
      </c>
      <c r="H98" s="31">
        <f>'[1]BS &amp; P&amp;L &amp; Stats'!E98</f>
        <v>61423</v>
      </c>
      <c r="I98" s="31">
        <f>'[1]BS &amp; P&amp;L &amp; Stats'!F98</f>
        <v>66727</v>
      </c>
      <c r="J98" s="32">
        <f>'[1]BS &amp; P&amp;L &amp; Stats'!G98</f>
        <v>72237</v>
      </c>
      <c r="K98" s="31">
        <f>'[1]BS &amp; P&amp;L &amp; Stats'!H98</f>
        <v>80853</v>
      </c>
      <c r="L98" s="31">
        <f>'[1]BS &amp; P&amp;L &amp; Stats'!I98</f>
        <v>87984</v>
      </c>
      <c r="M98" s="31">
        <f>'[1]BS &amp; P&amp;L &amp; Stats'!J98</f>
        <v>98752</v>
      </c>
      <c r="N98" s="31">
        <f>'[1]BS &amp; P&amp;L &amp; Stats'!K98</f>
        <v>99310</v>
      </c>
    </row>
    <row r="99" spans="1:18" ht="18" customHeight="1" x14ac:dyDescent="0.3">
      <c r="B99" s="77" t="str">
        <f>'[1]BS &amp; P&amp;L &amp; Stats'!A96</f>
        <v>Equity Share Capital</v>
      </c>
      <c r="C99" s="78"/>
      <c r="D99" s="78"/>
      <c r="E99" s="79">
        <f>'[1]BS &amp; P&amp;L &amp; Stats'!B96</f>
        <v>301</v>
      </c>
      <c r="F99" s="79">
        <f>'[1]BS &amp; P&amp;L &amp; Stats'!C96</f>
        <v>302</v>
      </c>
      <c r="G99" s="79">
        <f>'[1]BS &amp; P&amp;L &amp; Stats'!D96</f>
        <v>301</v>
      </c>
      <c r="H99" s="79">
        <f>'[1]BS &amp; P&amp;L &amp; Stats'!E96</f>
        <v>301</v>
      </c>
      <c r="I99" s="79">
        <f>'[1]BS &amp; P&amp;L &amp; Stats'!F96</f>
        <v>302</v>
      </c>
      <c r="J99" s="80">
        <f>'[1]BS &amp; P&amp;L &amp; Stats'!G96</f>
        <v>301</v>
      </c>
      <c r="K99" s="79">
        <f>'[1]BS &amp; P&amp;L &amp; Stats'!H96</f>
        <v>301</v>
      </c>
      <c r="L99" s="79">
        <f>'[1]BS &amp; P&amp;L &amp; Stats'!I96</f>
        <v>305</v>
      </c>
      <c r="M99" s="79">
        <f>'[1]BS &amp; P&amp;L &amp; Stats'!J96</f>
        <v>305</v>
      </c>
      <c r="N99" s="79">
        <f>'[1]BS &amp; P&amp;L &amp; Stats'!K96</f>
        <v>305</v>
      </c>
    </row>
    <row r="100" spans="1:18" ht="18" customHeight="1" x14ac:dyDescent="0.3">
      <c r="B100" s="77" t="str">
        <f>'[1]BS &amp; P&amp;L &amp; Stats'!A97</f>
        <v>Reserves</v>
      </c>
      <c r="C100" s="78"/>
      <c r="D100" s="78"/>
      <c r="E100" s="31">
        <f>'[1]BS &amp; P&amp;L &amp; Stats'!B97</f>
        <v>22346</v>
      </c>
      <c r="F100" s="31">
        <f>'[1]BS &amp; P&amp;L &amp; Stats'!C97</f>
        <v>27696</v>
      </c>
      <c r="G100" s="31">
        <f>'[1]BS &amp; P&amp;L &amp; Stats'!D97</f>
        <v>34494</v>
      </c>
      <c r="H100" s="31">
        <f>'[1]BS &amp; P&amp;L &amp; Stats'!E97</f>
        <v>36298</v>
      </c>
      <c r="I100" s="31">
        <f>'[1]BS &amp; P&amp;L &amp; Stats'!F97</f>
        <v>45308</v>
      </c>
      <c r="J100" s="32">
        <f>'[1]BS &amp; P&amp;L &amp; Stats'!G97</f>
        <v>66996</v>
      </c>
      <c r="K100" s="31">
        <f>'[1]BS &amp; P&amp;L &amp; Stats'!H97</f>
        <v>65394</v>
      </c>
      <c r="L100" s="31">
        <f>'[1]BS &amp; P&amp;L &amp; Stats'!I97</f>
        <v>77364</v>
      </c>
      <c r="M100" s="31">
        <f>'[1]BS &amp; P&amp;L &amp; Stats'!J97</f>
        <v>79191</v>
      </c>
      <c r="N100" s="31">
        <f>'[1]BS &amp; P&amp;L &amp; Stats'!K97</f>
        <v>99748</v>
      </c>
    </row>
    <row r="101" spans="1:18" ht="18" customHeight="1" x14ac:dyDescent="0.3">
      <c r="B101" s="68" t="s">
        <v>64</v>
      </c>
      <c r="E101" s="81">
        <f>E99+E100</f>
        <v>22647</v>
      </c>
      <c r="F101" s="81">
        <f t="shared" ref="F101:N101" si="0">F99+F100</f>
        <v>27998</v>
      </c>
      <c r="G101" s="81">
        <f t="shared" si="0"/>
        <v>34795</v>
      </c>
      <c r="H101" s="81">
        <f t="shared" si="0"/>
        <v>36599</v>
      </c>
      <c r="I101" s="81">
        <f t="shared" si="0"/>
        <v>45610</v>
      </c>
      <c r="J101" s="82">
        <f t="shared" si="0"/>
        <v>67297</v>
      </c>
      <c r="K101" s="81">
        <f t="shared" si="0"/>
        <v>65695</v>
      </c>
      <c r="L101" s="81">
        <f t="shared" si="0"/>
        <v>77669</v>
      </c>
      <c r="M101" s="81">
        <f t="shared" si="0"/>
        <v>79496</v>
      </c>
      <c r="N101" s="81">
        <f t="shared" si="0"/>
        <v>100053</v>
      </c>
    </row>
    <row r="102" spans="1:18" ht="18" customHeight="1" x14ac:dyDescent="0.3">
      <c r="B102" s="83" t="s">
        <v>65</v>
      </c>
      <c r="E102" s="71">
        <f>E98/E101</f>
        <v>1.9134543206605732</v>
      </c>
      <c r="F102" s="71">
        <f t="shared" ref="F102:N102" si="1">F98/F101</f>
        <v>1.4069933566683335</v>
      </c>
      <c r="G102" s="71">
        <f t="shared" si="1"/>
        <v>1.3621497341572064</v>
      </c>
      <c r="H102" s="71">
        <f t="shared" si="1"/>
        <v>1.6782698980846471</v>
      </c>
      <c r="I102" s="71">
        <f t="shared" si="1"/>
        <v>1.4629905722429293</v>
      </c>
      <c r="J102" s="72">
        <f t="shared" si="1"/>
        <v>1.0734059467732588</v>
      </c>
      <c r="K102" s="71">
        <f t="shared" si="1"/>
        <v>1.2307329324910572</v>
      </c>
      <c r="L102" s="71">
        <f t="shared" si="1"/>
        <v>1.1328071688833383</v>
      </c>
      <c r="M102" s="71">
        <f t="shared" si="1"/>
        <v>1.2422260239508907</v>
      </c>
      <c r="N102" s="71">
        <f t="shared" si="1"/>
        <v>0.99257393581401854</v>
      </c>
    </row>
    <row r="104" spans="1:18" ht="18" customHeight="1" x14ac:dyDescent="0.3">
      <c r="A104" s="42"/>
      <c r="B104" s="41"/>
      <c r="C104" s="41"/>
      <c r="D104" s="41"/>
      <c r="E104" s="73"/>
      <c r="F104" s="73"/>
      <c r="G104" s="73"/>
      <c r="H104" s="73"/>
      <c r="I104" s="73"/>
      <c r="J104" s="74"/>
      <c r="K104" s="73"/>
      <c r="L104" s="73"/>
      <c r="M104" s="73"/>
      <c r="N104" s="73"/>
      <c r="O104" s="73"/>
      <c r="P104" s="73"/>
      <c r="Q104" s="41"/>
      <c r="R104" s="41"/>
    </row>
    <row r="105" spans="1:18" ht="18" customHeight="1" x14ac:dyDescent="0.3">
      <c r="A105" s="11">
        <f>A87+1</f>
        <v>6</v>
      </c>
      <c r="B105" s="12" t="s">
        <v>66</v>
      </c>
      <c r="C105" s="12"/>
      <c r="D105" s="13"/>
      <c r="E105" s="12"/>
      <c r="F105" s="12" t="s">
        <v>67</v>
      </c>
      <c r="G105" s="12"/>
      <c r="H105" s="12"/>
      <c r="I105" s="12"/>
      <c r="J105" s="11">
        <v>1</v>
      </c>
      <c r="K105" s="11">
        <v>1</v>
      </c>
      <c r="L105" s="12"/>
      <c r="M105" s="12"/>
      <c r="N105" s="12"/>
      <c r="O105" s="12"/>
      <c r="P105" s="12"/>
      <c r="Q105" s="43"/>
      <c r="R105" s="43"/>
    </row>
    <row r="106" spans="1:18" ht="18" customHeight="1" x14ac:dyDescent="0.3">
      <c r="A106" s="43"/>
      <c r="B106" s="43"/>
      <c r="C106" s="43"/>
      <c r="D106" s="43"/>
      <c r="E106" s="43"/>
      <c r="F106" s="43"/>
      <c r="G106" s="43"/>
      <c r="H106" s="75"/>
      <c r="I106" s="75"/>
      <c r="J106" s="11"/>
      <c r="K106" s="11"/>
      <c r="L106" s="12"/>
      <c r="M106" s="43"/>
      <c r="N106" s="43"/>
      <c r="O106" s="43"/>
      <c r="P106" s="43"/>
      <c r="Q106" s="43"/>
      <c r="R106" s="43"/>
    </row>
    <row r="107" spans="1:18" ht="18" customHeight="1" x14ac:dyDescent="0.3">
      <c r="A107" s="43"/>
      <c r="B107" s="43"/>
      <c r="C107" s="43"/>
      <c r="D107" s="43"/>
      <c r="E107" s="43"/>
      <c r="F107" s="43"/>
      <c r="G107" s="43"/>
      <c r="H107" s="75"/>
      <c r="I107" s="75"/>
      <c r="J107" s="11"/>
      <c r="K107" s="11"/>
      <c r="L107" s="12"/>
      <c r="M107" s="43"/>
      <c r="N107" s="43"/>
      <c r="O107" s="43"/>
      <c r="P107" s="43"/>
      <c r="Q107" s="43"/>
      <c r="R107" s="43"/>
    </row>
    <row r="108" spans="1:18" ht="18" customHeight="1" x14ac:dyDescent="0.3">
      <c r="A108" s="43"/>
      <c r="B108" s="43"/>
      <c r="C108" s="43"/>
      <c r="D108" s="43"/>
      <c r="E108" s="43"/>
      <c r="F108" s="43"/>
      <c r="G108" s="43"/>
      <c r="H108" s="75"/>
      <c r="I108" s="75"/>
      <c r="J108" s="11"/>
      <c r="K108" s="11"/>
      <c r="L108" s="12"/>
      <c r="M108" s="43"/>
      <c r="N108" s="43"/>
      <c r="O108" s="43"/>
      <c r="P108" s="43"/>
      <c r="Q108" s="43"/>
      <c r="R108" s="43"/>
    </row>
    <row r="109" spans="1:18" ht="18" customHeight="1" x14ac:dyDescent="0.3">
      <c r="A109" s="41"/>
      <c r="B109" s="41"/>
      <c r="C109" s="41"/>
      <c r="D109" s="41"/>
      <c r="E109" s="41"/>
      <c r="F109" s="41"/>
      <c r="G109" s="41"/>
      <c r="H109" s="42"/>
      <c r="I109" s="42"/>
      <c r="J109" s="42"/>
      <c r="K109" s="41"/>
      <c r="L109" s="41"/>
      <c r="M109" s="41"/>
      <c r="N109" s="41"/>
      <c r="O109" s="41"/>
      <c r="P109" s="41"/>
      <c r="Q109" s="41"/>
      <c r="R109" s="41"/>
    </row>
    <row r="111" spans="1:18" ht="18" customHeight="1" x14ac:dyDescent="0.3">
      <c r="A111" s="3"/>
      <c r="E111" s="65" t="s">
        <v>50</v>
      </c>
      <c r="F111" s="65" t="s">
        <v>51</v>
      </c>
      <c r="G111" s="65" t="s">
        <v>60</v>
      </c>
    </row>
    <row r="112" spans="1:18" ht="18" customHeight="1" x14ac:dyDescent="0.3">
      <c r="A112" s="3" t="s">
        <v>13</v>
      </c>
      <c r="B112" s="2" t="s">
        <v>68</v>
      </c>
      <c r="E112" s="21">
        <f>'[1]BS &amp; P&amp;L &amp; Stats'!D80</f>
        <v>0.4</v>
      </c>
      <c r="F112" s="21">
        <f>'[1]BS &amp; P&amp;L &amp; Stats'!D81</f>
        <v>1</v>
      </c>
      <c r="G112" s="21">
        <f>'[1]BS &amp; P&amp;L &amp; Stats'!D82</f>
        <v>1</v>
      </c>
    </row>
    <row r="113" spans="1:18" ht="18" customHeight="1" x14ac:dyDescent="0.3">
      <c r="A113" s="3"/>
      <c r="B113" s="2" t="s">
        <v>69</v>
      </c>
      <c r="E113" s="23">
        <f>'[1]BS &amp; P&amp;L &amp; Stats'!B80</f>
        <v>4</v>
      </c>
      <c r="F113" s="23">
        <f>'[1]BS &amp; P&amp;L &amp; Stats'!B81</f>
        <v>3</v>
      </c>
      <c r="G113" s="23">
        <f>'[1]BS &amp; P&amp;L &amp; Stats'!B82</f>
        <v>1</v>
      </c>
    </row>
    <row r="115" spans="1:18" ht="18" customHeight="1" x14ac:dyDescent="0.3">
      <c r="B115" s="66" t="s">
        <v>66</v>
      </c>
      <c r="C115" s="67"/>
      <c r="D115" s="67"/>
      <c r="E115" s="27">
        <f>'[1]Data Sheet'!$B$16</f>
        <v>42825</v>
      </c>
      <c r="F115" s="27">
        <f>'[1]Data Sheet'!$C$16</f>
        <v>43190</v>
      </c>
      <c r="G115" s="27">
        <f>'[1]Data Sheet'!$D$16</f>
        <v>43555</v>
      </c>
      <c r="H115" s="27">
        <f>'[1]Data Sheet'!$E$16</f>
        <v>43921</v>
      </c>
      <c r="I115" s="27">
        <f>'[1]Data Sheet'!$F$16</f>
        <v>44286</v>
      </c>
      <c r="J115" s="29">
        <f>'[1]Data Sheet'!$G$16</f>
        <v>44651</v>
      </c>
      <c r="K115" s="27">
        <f>'[1]Data Sheet'!$H$16</f>
        <v>45016</v>
      </c>
      <c r="L115" s="27">
        <f>'[1]Data Sheet'!$I$16</f>
        <v>45382</v>
      </c>
      <c r="M115" s="27">
        <f>'[1]Data Sheet'!$J$16</f>
        <v>45747</v>
      </c>
      <c r="N115" s="27">
        <f>'[1]Data Sheet'!$K$16</f>
        <v>46112</v>
      </c>
    </row>
    <row r="116" spans="1:18" ht="18" customHeight="1" x14ac:dyDescent="0.3">
      <c r="B116" s="68" t="str">
        <f>'[1]BS &amp; P&amp;L &amp; Stats'!A104</f>
        <v>Other Assets</v>
      </c>
      <c r="E116" s="69">
        <f>'[1]BS &amp; P&amp;L &amp; Stats'!B104</f>
        <v>23546</v>
      </c>
      <c r="F116" s="69">
        <f>'[1]BS &amp; P&amp;L &amp; Stats'!C104</f>
        <v>26703</v>
      </c>
      <c r="G116" s="69">
        <f>'[1]BS &amp; P&amp;L &amp; Stats'!D104</f>
        <v>38370</v>
      </c>
      <c r="H116" s="69">
        <f>'[1]BS &amp; P&amp;L &amp; Stats'!E104</f>
        <v>41285</v>
      </c>
      <c r="I116" s="69">
        <f>'[1]BS &amp; P&amp;L &amp; Stats'!F104</f>
        <v>42253</v>
      </c>
      <c r="J116" s="70">
        <f>'[1]BS &amp; P&amp;L &amp; Stats'!G104</f>
        <v>74760</v>
      </c>
      <c r="K116" s="69">
        <f>'[1]BS &amp; P&amp;L &amp; Stats'!H104</f>
        <v>79115</v>
      </c>
      <c r="L116" s="69">
        <f>'[1]BS &amp; P&amp;L &amp; Stats'!I104</f>
        <v>78515</v>
      </c>
      <c r="M116" s="69">
        <f>'[1]BS &amp; P&amp;L &amp; Stats'!J104</f>
        <v>79755</v>
      </c>
      <c r="N116" s="69">
        <f>'[1]BS &amp; P&amp;L &amp; Stats'!K104</f>
        <v>119996</v>
      </c>
    </row>
    <row r="117" spans="1:18" ht="18" customHeight="1" x14ac:dyDescent="0.3">
      <c r="B117" s="68" t="str">
        <f>'[1]BS &amp; P&amp;L &amp; Stats'!A99</f>
        <v>Other Liabilities</v>
      </c>
      <c r="E117" s="69">
        <f>'[1]BS &amp; P&amp;L &amp; Stats'!B99</f>
        <v>22024</v>
      </c>
      <c r="F117" s="69">
        <f>'[1]BS &amp; P&amp;L &amp; Stats'!C99</f>
        <v>24579</v>
      </c>
      <c r="G117" s="69">
        <f>'[1]BS &amp; P&amp;L &amp; Stats'!D99</f>
        <v>32606</v>
      </c>
      <c r="H117" s="69">
        <f>'[1]BS &amp; P&amp;L &amp; Stats'!E99</f>
        <v>33798</v>
      </c>
      <c r="I117" s="69">
        <f>'[1]BS &amp; P&amp;L &amp; Stats'!F99</f>
        <v>34826</v>
      </c>
      <c r="J117" s="70">
        <f>'[1]BS &amp; P&amp;L &amp; Stats'!G99</f>
        <v>56951</v>
      </c>
      <c r="K117" s="69">
        <f>'[1]BS &amp; P&amp;L &amp; Stats'!H99</f>
        <v>63991</v>
      </c>
      <c r="L117" s="69">
        <f>'[1]BS &amp; P&amp;L &amp; Stats'!I99</f>
        <v>62245</v>
      </c>
      <c r="M117" s="69">
        <f>'[1]BS &amp; P&amp;L &amp; Stats'!J99</f>
        <v>62197</v>
      </c>
      <c r="N117" s="69">
        <f>'[1]BS &amp; P&amp;L &amp; Stats'!K99</f>
        <v>70295</v>
      </c>
    </row>
    <row r="118" spans="1:18" ht="18" customHeight="1" x14ac:dyDescent="0.3">
      <c r="B118" s="83" t="s">
        <v>66</v>
      </c>
      <c r="E118" s="71">
        <f>E116/E117</f>
        <v>1.0691064293498003</v>
      </c>
      <c r="F118" s="71">
        <f t="shared" ref="F118:N118" si="2">F116/F117</f>
        <v>1.086415232515562</v>
      </c>
      <c r="G118" s="71">
        <f t="shared" si="2"/>
        <v>1.1767772802551677</v>
      </c>
      <c r="H118" s="71">
        <f t="shared" si="2"/>
        <v>1.2215219835493225</v>
      </c>
      <c r="I118" s="71">
        <f t="shared" si="2"/>
        <v>1.2132602078906565</v>
      </c>
      <c r="J118" s="72">
        <f t="shared" si="2"/>
        <v>1.3127074151463538</v>
      </c>
      <c r="K118" s="71">
        <f t="shared" si="2"/>
        <v>1.2363457361191417</v>
      </c>
      <c r="L118" s="71">
        <f t="shared" si="2"/>
        <v>1.2613864567435136</v>
      </c>
      <c r="M118" s="71">
        <f t="shared" si="2"/>
        <v>1.2822965737897327</v>
      </c>
      <c r="N118" s="71">
        <f t="shared" si="2"/>
        <v>1.7070346397325558</v>
      </c>
    </row>
    <row r="120" spans="1:18" ht="18" customHeight="1" x14ac:dyDescent="0.3">
      <c r="A120" s="42"/>
      <c r="B120" s="41"/>
      <c r="C120" s="41"/>
      <c r="D120" s="41"/>
      <c r="E120" s="73"/>
      <c r="F120" s="73"/>
      <c r="G120" s="73"/>
      <c r="H120" s="73"/>
      <c r="I120" s="73"/>
      <c r="J120" s="74"/>
      <c r="K120" s="73"/>
      <c r="L120" s="73"/>
      <c r="M120" s="73"/>
      <c r="N120" s="73"/>
      <c r="O120" s="73"/>
      <c r="P120" s="73"/>
      <c r="Q120" s="41"/>
      <c r="R120" s="41"/>
    </row>
    <row r="121" spans="1:18" ht="18" customHeight="1" x14ac:dyDescent="0.3">
      <c r="A121" s="11">
        <f>A105+1</f>
        <v>7</v>
      </c>
      <c r="B121" s="12" t="s">
        <v>70</v>
      </c>
      <c r="C121" s="12"/>
      <c r="D121" s="13"/>
      <c r="E121" s="12"/>
      <c r="F121" s="12" t="s">
        <v>71</v>
      </c>
      <c r="G121" s="12"/>
      <c r="H121" s="12"/>
      <c r="I121" s="12"/>
      <c r="J121" s="11">
        <v>1</v>
      </c>
      <c r="K121" s="11">
        <v>1</v>
      </c>
      <c r="L121" s="12"/>
      <c r="M121" s="12"/>
      <c r="N121" s="12"/>
      <c r="O121" s="12"/>
      <c r="P121" s="12"/>
      <c r="Q121" s="43"/>
      <c r="R121" s="43"/>
    </row>
    <row r="122" spans="1:18" ht="18" customHeight="1" x14ac:dyDescent="0.3">
      <c r="A122" s="43"/>
      <c r="B122" s="12" t="s">
        <v>72</v>
      </c>
      <c r="C122" s="43"/>
      <c r="D122" s="43"/>
      <c r="E122" s="43"/>
      <c r="F122" s="12" t="s">
        <v>73</v>
      </c>
      <c r="G122" s="43"/>
      <c r="H122" s="75"/>
      <c r="I122" s="75"/>
      <c r="J122" s="11">
        <v>0</v>
      </c>
      <c r="K122" s="11">
        <v>1</v>
      </c>
      <c r="L122" s="12"/>
      <c r="M122" s="43"/>
      <c r="N122" s="43"/>
      <c r="O122" s="43"/>
      <c r="P122" s="43"/>
      <c r="Q122" s="43"/>
      <c r="R122" s="43"/>
    </row>
    <row r="123" spans="1:18" ht="18" customHeight="1" x14ac:dyDescent="0.3">
      <c r="A123" s="43"/>
      <c r="B123" s="43"/>
      <c r="C123" s="43"/>
      <c r="D123" s="43"/>
      <c r="E123" s="43"/>
      <c r="F123" s="43"/>
      <c r="G123" s="43"/>
      <c r="H123" s="75"/>
      <c r="I123" s="75"/>
      <c r="J123" s="11"/>
      <c r="K123" s="11"/>
      <c r="L123" s="12"/>
      <c r="M123" s="43"/>
      <c r="N123" s="43"/>
      <c r="O123" s="43"/>
      <c r="P123" s="43"/>
      <c r="Q123" s="43"/>
      <c r="R123" s="43"/>
    </row>
    <row r="124" spans="1:18" ht="18" customHeight="1" x14ac:dyDescent="0.3">
      <c r="A124" s="43"/>
      <c r="B124" s="43"/>
      <c r="C124" s="43"/>
      <c r="D124" s="43"/>
      <c r="E124" s="43"/>
      <c r="F124" s="43"/>
      <c r="G124" s="43"/>
      <c r="H124" s="75"/>
      <c r="I124" s="75"/>
      <c r="J124" s="11"/>
      <c r="K124" s="11"/>
      <c r="L124" s="12"/>
      <c r="M124" s="43"/>
      <c r="N124" s="43"/>
      <c r="O124" s="43"/>
      <c r="P124" s="43"/>
      <c r="Q124" s="43"/>
      <c r="R124" s="43"/>
    </row>
    <row r="125" spans="1:18" ht="18" customHeight="1" x14ac:dyDescent="0.3">
      <c r="A125" s="41"/>
      <c r="B125" s="41"/>
      <c r="C125" s="41"/>
      <c r="D125" s="41"/>
      <c r="E125" s="41"/>
      <c r="F125" s="41"/>
      <c r="G125" s="41"/>
      <c r="H125" s="42"/>
      <c r="I125" s="42"/>
      <c r="J125" s="42"/>
      <c r="K125" s="41"/>
      <c r="L125" s="41"/>
      <c r="M125" s="41"/>
      <c r="N125" s="41"/>
      <c r="O125" s="41"/>
      <c r="P125" s="41"/>
      <c r="Q125" s="41"/>
      <c r="R125" s="41"/>
    </row>
    <row r="127" spans="1:18" ht="18" customHeight="1" x14ac:dyDescent="0.3">
      <c r="B127" s="66" t="s">
        <v>74</v>
      </c>
      <c r="C127" s="67"/>
      <c r="D127" s="67"/>
      <c r="E127" s="27">
        <f>'[1]Data Sheet'!$B$16</f>
        <v>42825</v>
      </c>
      <c r="F127" s="27">
        <f>'[1]Data Sheet'!$C$16</f>
        <v>43190</v>
      </c>
      <c r="G127" s="27">
        <f>'[1]Data Sheet'!$D$16</f>
        <v>43555</v>
      </c>
      <c r="H127" s="27">
        <f>'[1]Data Sheet'!$E$16</f>
        <v>43921</v>
      </c>
      <c r="I127" s="27">
        <f>'[1]Data Sheet'!$F$16</f>
        <v>44286</v>
      </c>
      <c r="J127" s="29">
        <f>'[1]Data Sheet'!$G$16</f>
        <v>44651</v>
      </c>
      <c r="K127" s="27">
        <f>'[1]Data Sheet'!$H$16</f>
        <v>45016</v>
      </c>
      <c r="L127" s="27">
        <f>'[1]Data Sheet'!$I$16</f>
        <v>45382</v>
      </c>
      <c r="M127" s="27">
        <f>'[1]Data Sheet'!$J$16</f>
        <v>45747</v>
      </c>
      <c r="N127" s="27">
        <f>'[1]Data Sheet'!$K$16</f>
        <v>46112</v>
      </c>
    </row>
    <row r="128" spans="1:18" ht="18" customHeight="1" x14ac:dyDescent="0.3">
      <c r="B128" s="68" t="s">
        <v>75</v>
      </c>
      <c r="E128" s="69">
        <f>'[1]BS &amp; P&amp;L &amp; Stats'!B6</f>
        <v>55604</v>
      </c>
      <c r="F128" s="69">
        <f>'[1]BS &amp; P&amp;L &amp; Stats'!C6</f>
        <v>71933</v>
      </c>
      <c r="G128" s="69">
        <f>'[1]BS &amp; P&amp;L &amp; Stats'!D6</f>
        <v>84757</v>
      </c>
      <c r="H128" s="69">
        <f>'[1]BS &amp; P&amp;L &amp; Stats'!E6</f>
        <v>73326</v>
      </c>
      <c r="I128" s="69">
        <f>'[1]BS &amp; P&amp;L &amp; Stats'!F6</f>
        <v>79839</v>
      </c>
      <c r="J128" s="69">
        <f>'[1]BS &amp; P&amp;L &amp; Stats'!G6</f>
        <v>146371</v>
      </c>
      <c r="K128" s="69">
        <f>'[1]BS &amp; P&amp;L &amp; Stats'!H6</f>
        <v>165960</v>
      </c>
      <c r="L128" s="69">
        <f>'[1]BS &amp; P&amp;L &amp; Stats'!I6</f>
        <v>175006</v>
      </c>
      <c r="M128" s="69">
        <f>'[1]BS &amp; P&amp;L &amp; Stats'!J6</f>
        <v>168824</v>
      </c>
      <c r="N128" s="69">
        <f>'[1]BS &amp; P&amp;L &amp; Stats'!K6</f>
        <v>185470</v>
      </c>
    </row>
    <row r="129" spans="1:18" ht="18" customHeight="1" x14ac:dyDescent="0.3">
      <c r="B129" s="68" t="s">
        <v>76</v>
      </c>
      <c r="E129" s="31">
        <f>'[1]BS &amp; P&amp;L &amp; Stats'!B101</f>
        <v>58730</v>
      </c>
      <c r="F129" s="31">
        <f>'[1]BS &amp; P&amp;L &amp; Stats'!C101</f>
        <v>57848</v>
      </c>
      <c r="G129" s="31">
        <f>'[1]BS &amp; P&amp;L &amp; Stats'!D101</f>
        <v>62644</v>
      </c>
      <c r="H129" s="31">
        <f>'[1]BS &amp; P&amp;L &amp; Stats'!E101</f>
        <v>62085</v>
      </c>
      <c r="I129" s="31">
        <f>'[1]BS &amp; P&amp;L &amp; Stats'!F101</f>
        <v>64917</v>
      </c>
      <c r="J129" s="32">
        <f>'[1]BS &amp; P&amp;L &amp; Stats'!G101</f>
        <v>99880</v>
      </c>
      <c r="K129" s="31">
        <f>'[1]BS &amp; P&amp;L &amp; Stats'!H101</f>
        <v>104452</v>
      </c>
      <c r="L129" s="31">
        <f>'[1]BS &amp; P&amp;L &amp; Stats'!I101</f>
        <v>112461</v>
      </c>
      <c r="M129" s="31">
        <f>'[1]BS &amp; P&amp;L &amp; Stats'!J101</f>
        <v>124466</v>
      </c>
      <c r="N129" s="31">
        <f>'[1]BS &amp; P&amp;L &amp; Stats'!K101</f>
        <v>117129</v>
      </c>
    </row>
    <row r="130" spans="1:18" ht="18" customHeight="1" x14ac:dyDescent="0.3">
      <c r="B130" s="83" t="s">
        <v>70</v>
      </c>
      <c r="F130" s="84">
        <f>F128/(AVERAGE(E129:F129))</f>
        <v>1.2340750398874574</v>
      </c>
      <c r="G130" s="84">
        <f t="shared" ref="G130:N130" si="3">G128/(AVERAGE(F129:G129))</f>
        <v>1.4068485874580885</v>
      </c>
      <c r="H130" s="84">
        <f t="shared" si="3"/>
        <v>1.1757650586471471</v>
      </c>
      <c r="I130" s="84">
        <f t="shared" si="3"/>
        <v>1.257287286814381</v>
      </c>
      <c r="J130" s="85">
        <f t="shared" si="3"/>
        <v>1.7763794243827253</v>
      </c>
      <c r="K130" s="84">
        <f t="shared" si="3"/>
        <v>1.6244151674725447</v>
      </c>
      <c r="L130" s="84">
        <f t="shared" si="3"/>
        <v>1.6136054547214782</v>
      </c>
      <c r="M130" s="84">
        <f t="shared" si="3"/>
        <v>1.4251140646697085</v>
      </c>
      <c r="N130" s="84">
        <f t="shared" si="3"/>
        <v>1.5353794573563195</v>
      </c>
    </row>
    <row r="132" spans="1:18" ht="18" customHeight="1" x14ac:dyDescent="0.3">
      <c r="A132" s="42"/>
      <c r="B132" s="41"/>
      <c r="C132" s="41"/>
      <c r="D132" s="41"/>
      <c r="E132" s="73"/>
      <c r="F132" s="73"/>
      <c r="G132" s="73"/>
      <c r="H132" s="73"/>
      <c r="I132" s="73"/>
      <c r="J132" s="74"/>
      <c r="K132" s="73"/>
      <c r="L132" s="73"/>
      <c r="M132" s="73"/>
      <c r="N132" s="73"/>
      <c r="O132" s="73"/>
      <c r="P132" s="73"/>
      <c r="Q132" s="41"/>
      <c r="R132" s="41"/>
    </row>
    <row r="133" spans="1:18" ht="18" customHeight="1" x14ac:dyDescent="0.3">
      <c r="A133" s="11">
        <f>A121+1</f>
        <v>8</v>
      </c>
      <c r="B133" s="12" t="s">
        <v>77</v>
      </c>
      <c r="C133" s="12"/>
      <c r="D133" s="13"/>
      <c r="E133" s="12"/>
      <c r="F133" s="12" t="s">
        <v>71</v>
      </c>
      <c r="G133" s="12"/>
      <c r="H133" s="12"/>
      <c r="I133" s="12"/>
      <c r="J133" s="11">
        <v>1</v>
      </c>
      <c r="K133" s="11">
        <v>1</v>
      </c>
      <c r="L133" s="12"/>
      <c r="M133" s="12"/>
      <c r="N133" s="12"/>
      <c r="O133" s="12"/>
      <c r="P133" s="12"/>
      <c r="Q133" s="43"/>
      <c r="R133" s="43"/>
    </row>
    <row r="134" spans="1:18" ht="18" customHeight="1" x14ac:dyDescent="0.3">
      <c r="A134" s="43"/>
      <c r="B134" s="12" t="s">
        <v>78</v>
      </c>
      <c r="C134" s="43"/>
      <c r="D134" s="43"/>
      <c r="E134" s="43"/>
      <c r="F134" s="12" t="s">
        <v>73</v>
      </c>
      <c r="G134" s="43"/>
      <c r="H134" s="75"/>
      <c r="I134" s="75"/>
      <c r="J134" s="11">
        <v>0</v>
      </c>
      <c r="K134" s="11">
        <v>1</v>
      </c>
      <c r="L134" s="12"/>
      <c r="M134" s="43"/>
      <c r="N134" s="43"/>
      <c r="O134" s="43"/>
      <c r="P134" s="43"/>
      <c r="Q134" s="43"/>
      <c r="R134" s="43"/>
    </row>
    <row r="135" spans="1:18" ht="18" customHeight="1" x14ac:dyDescent="0.3">
      <c r="A135" s="43"/>
      <c r="B135" s="43"/>
      <c r="C135" s="43"/>
      <c r="D135" s="43"/>
      <c r="E135" s="43"/>
      <c r="F135" s="43"/>
      <c r="G135" s="43"/>
      <c r="H135" s="75"/>
      <c r="I135" s="75"/>
      <c r="J135" s="75"/>
      <c r="K135" s="43"/>
      <c r="L135" s="43"/>
      <c r="M135" s="43"/>
      <c r="N135" s="43"/>
      <c r="O135" s="43"/>
      <c r="P135" s="43"/>
      <c r="Q135" s="43"/>
      <c r="R135" s="43"/>
    </row>
    <row r="136" spans="1:18" ht="18" customHeight="1" x14ac:dyDescent="0.3">
      <c r="A136" s="43"/>
      <c r="B136" s="43"/>
      <c r="C136" s="43"/>
      <c r="D136" s="43"/>
      <c r="E136" s="43"/>
      <c r="F136" s="43"/>
      <c r="G136" s="43"/>
      <c r="H136" s="75"/>
      <c r="I136" s="75"/>
      <c r="J136" s="75"/>
      <c r="K136" s="43"/>
      <c r="L136" s="43"/>
      <c r="M136" s="43"/>
      <c r="N136" s="43"/>
      <c r="O136" s="43"/>
      <c r="P136" s="43"/>
      <c r="Q136" s="43"/>
      <c r="R136" s="43"/>
    </row>
    <row r="137" spans="1:18" ht="18" customHeight="1" x14ac:dyDescent="0.3">
      <c r="A137" s="41"/>
      <c r="B137" s="41"/>
      <c r="C137" s="41"/>
      <c r="D137" s="41"/>
      <c r="E137" s="41"/>
      <c r="F137" s="41"/>
      <c r="G137" s="41"/>
      <c r="H137" s="42"/>
      <c r="I137" s="42"/>
      <c r="J137" s="42"/>
      <c r="K137" s="41"/>
      <c r="L137" s="41"/>
      <c r="M137" s="41"/>
      <c r="N137" s="41"/>
      <c r="O137" s="41"/>
      <c r="P137" s="41"/>
      <c r="Q137" s="41"/>
      <c r="R137" s="41"/>
    </row>
    <row r="139" spans="1:18" ht="18" customHeight="1" x14ac:dyDescent="0.3">
      <c r="B139" s="66" t="s">
        <v>79</v>
      </c>
      <c r="C139" s="67"/>
      <c r="D139" s="67"/>
      <c r="E139" s="27">
        <f>'[1]Data Sheet'!$B$16</f>
        <v>42825</v>
      </c>
      <c r="F139" s="27">
        <f>'[1]Data Sheet'!$C$16</f>
        <v>43190</v>
      </c>
      <c r="G139" s="27">
        <f>'[1]Data Sheet'!$D$16</f>
        <v>43555</v>
      </c>
      <c r="H139" s="27">
        <f>'[1]Data Sheet'!$E$16</f>
        <v>43921</v>
      </c>
      <c r="I139" s="27">
        <f>'[1]Data Sheet'!$F$16</f>
        <v>44286</v>
      </c>
      <c r="J139" s="29">
        <f>'[1]Data Sheet'!$G$16</f>
        <v>44651</v>
      </c>
      <c r="K139" s="27">
        <f>'[1]Data Sheet'!$H$16</f>
        <v>45016</v>
      </c>
      <c r="L139" s="27">
        <f>'[1]Data Sheet'!$I$16</f>
        <v>45382</v>
      </c>
      <c r="M139" s="27">
        <f>'[1]Data Sheet'!$J$16</f>
        <v>45747</v>
      </c>
      <c r="N139" s="27">
        <f>'[1]Data Sheet'!$K$16</f>
        <v>46112</v>
      </c>
    </row>
    <row r="140" spans="1:18" ht="18" customHeight="1" x14ac:dyDescent="0.3">
      <c r="B140" s="68" t="s">
        <v>75</v>
      </c>
      <c r="E140" s="69">
        <f>'[1]BS &amp; P&amp;L &amp; Stats'!B6</f>
        <v>55604</v>
      </c>
      <c r="F140" s="69">
        <f>'[1]BS &amp; P&amp;L &amp; Stats'!C6</f>
        <v>71933</v>
      </c>
      <c r="G140" s="69">
        <f>'[1]BS &amp; P&amp;L &amp; Stats'!D6</f>
        <v>84757</v>
      </c>
      <c r="H140" s="69">
        <f>'[1]BS &amp; P&amp;L &amp; Stats'!E6</f>
        <v>73326</v>
      </c>
      <c r="I140" s="69">
        <f>'[1]BS &amp; P&amp;L &amp; Stats'!F6</f>
        <v>79839</v>
      </c>
      <c r="J140" s="69">
        <f>'[1]BS &amp; P&amp;L &amp; Stats'!G6</f>
        <v>146371</v>
      </c>
      <c r="K140" s="69">
        <f>'[1]BS &amp; P&amp;L &amp; Stats'!H6</f>
        <v>165960</v>
      </c>
      <c r="L140" s="69">
        <f>'[1]BS &amp; P&amp;L &amp; Stats'!I6</f>
        <v>175006</v>
      </c>
      <c r="M140" s="69">
        <f>'[1]BS &amp; P&amp;L &amp; Stats'!J6</f>
        <v>168824</v>
      </c>
      <c r="N140" s="69">
        <f>'[1]BS &amp; P&amp;L &amp; Stats'!K6</f>
        <v>185470</v>
      </c>
    </row>
    <row r="141" spans="1:18" ht="18" customHeight="1" x14ac:dyDescent="0.3">
      <c r="B141" s="68" t="s">
        <v>80</v>
      </c>
      <c r="E141" s="69">
        <f>'[1]BS &amp; P&amp;L &amp; Stats'!B107</f>
        <v>11395</v>
      </c>
      <c r="F141" s="69">
        <f>'[1]BS &amp; P&amp;L &amp; Stats'!C107</f>
        <v>12594</v>
      </c>
      <c r="G141" s="69">
        <f>'[1]BS &amp; P&amp;L &amp; Stats'!D107</f>
        <v>14548</v>
      </c>
      <c r="H141" s="69">
        <f>'[1]BS &amp; P&amp;L &amp; Stats'!E107</f>
        <v>13773</v>
      </c>
      <c r="I141" s="69">
        <f>'[1]BS &amp; P&amp;L &amp; Stats'!F107</f>
        <v>14249</v>
      </c>
      <c r="J141" s="69">
        <f>'[1]BS &amp; P&amp;L &amp; Stats'!G107</f>
        <v>33787</v>
      </c>
      <c r="K141" s="69">
        <f>'[1]BS &amp; P&amp;L &amp; Stats'!H107</f>
        <v>33135</v>
      </c>
      <c r="L141" s="69">
        <f>'[1]BS &amp; P&amp;L &amp; Stats'!I107</f>
        <v>37815</v>
      </c>
      <c r="M141" s="69">
        <f>'[1]BS &amp; P&amp;L &amp; Stats'!J107</f>
        <v>34956</v>
      </c>
      <c r="N141" s="69">
        <f>'[1]BS &amp; P&amp;L &amp; Stats'!K107</f>
        <v>32765</v>
      </c>
    </row>
    <row r="142" spans="1:18" ht="18" customHeight="1" x14ac:dyDescent="0.3">
      <c r="B142" s="83" t="s">
        <v>81</v>
      </c>
      <c r="F142" s="86">
        <f>IFERROR(F140/(AVERAGE(E141:F141)),"--")</f>
        <v>5.9971653674600862</v>
      </c>
      <c r="G142" s="86">
        <f t="shared" ref="G142:N142" si="4">IFERROR(G140/(AVERAGE(F141:G141)),"--")</f>
        <v>6.2454498563112519</v>
      </c>
      <c r="H142" s="86">
        <f t="shared" si="4"/>
        <v>5.1782069842166587</v>
      </c>
      <c r="I142" s="86">
        <f t="shared" si="4"/>
        <v>5.698308471914924</v>
      </c>
      <c r="J142" s="86">
        <f>IFERROR(J140/(AVERAGE(I141:J141)),"--")</f>
        <v>6.0942210009159794</v>
      </c>
      <c r="K142" s="86">
        <f t="shared" si="4"/>
        <v>4.9598039508681753</v>
      </c>
      <c r="L142" s="86">
        <f t="shared" si="4"/>
        <v>4.9332205778717411</v>
      </c>
      <c r="M142" s="86">
        <f t="shared" si="4"/>
        <v>4.6398702779953549</v>
      </c>
      <c r="N142" s="86">
        <f t="shared" si="4"/>
        <v>5.4774737526025898</v>
      </c>
    </row>
    <row r="143" spans="1:18" ht="18" customHeight="1" x14ac:dyDescent="0.3">
      <c r="B143" s="83" t="s">
        <v>82</v>
      </c>
      <c r="F143" s="87">
        <f t="shared" ref="F143:I143" si="5">IFERROR(365/(F140/(AVERAGE(E141:F141))),"--")</f>
        <v>60.86208694201548</v>
      </c>
      <c r="G143" s="87">
        <f t="shared" si="5"/>
        <v>58.442547518199085</v>
      </c>
      <c r="H143" s="87">
        <f t="shared" si="5"/>
        <v>70.487719226468101</v>
      </c>
      <c r="I143" s="87">
        <f t="shared" si="5"/>
        <v>64.054096368942496</v>
      </c>
      <c r="J143" s="87">
        <f>IFERROR(365/(J140/(AVERAGE(I141:J141))),"--")</f>
        <v>59.892806635194134</v>
      </c>
      <c r="K143" s="87">
        <f t="shared" ref="K143:N143" si="6">IFERROR(365/(K140/(AVERAGE(J141:K141))),"--")</f>
        <v>73.591618462280067</v>
      </c>
      <c r="L143" s="87">
        <f t="shared" si="6"/>
        <v>73.988177548198337</v>
      </c>
      <c r="M143" s="87">
        <f t="shared" si="6"/>
        <v>78.665992394446292</v>
      </c>
      <c r="N143" s="87">
        <f t="shared" si="6"/>
        <v>66.636558473068419</v>
      </c>
    </row>
    <row r="145" spans="1:18" ht="18" customHeight="1" x14ac:dyDescent="0.3">
      <c r="A145" s="42"/>
      <c r="B145" s="41"/>
      <c r="C145" s="41"/>
      <c r="D145" s="41"/>
      <c r="E145" s="73"/>
      <c r="F145" s="73"/>
      <c r="G145" s="73"/>
      <c r="H145" s="73"/>
      <c r="I145" s="73"/>
      <c r="J145" s="74"/>
      <c r="K145" s="73"/>
      <c r="L145" s="73"/>
      <c r="M145" s="73"/>
      <c r="N145" s="73"/>
      <c r="O145" s="73"/>
      <c r="P145" s="73"/>
      <c r="Q145" s="41"/>
      <c r="R145" s="41"/>
    </row>
    <row r="146" spans="1:18" ht="18" customHeight="1" x14ac:dyDescent="0.3">
      <c r="A146" s="11">
        <f>A133+1</f>
        <v>9</v>
      </c>
      <c r="B146" s="12" t="s">
        <v>83</v>
      </c>
      <c r="C146" s="12"/>
      <c r="D146" s="13"/>
      <c r="E146" s="12"/>
      <c r="F146" s="12" t="s">
        <v>71</v>
      </c>
      <c r="G146" s="12"/>
      <c r="H146" s="12"/>
      <c r="I146" s="12"/>
      <c r="J146" s="11">
        <v>0</v>
      </c>
      <c r="K146" s="11">
        <v>1</v>
      </c>
      <c r="L146" s="12"/>
      <c r="M146" s="12"/>
      <c r="N146" s="12"/>
      <c r="O146" s="12"/>
      <c r="P146" s="12"/>
      <c r="Q146" s="43"/>
      <c r="R146" s="43"/>
    </row>
    <row r="147" spans="1:18" ht="18" customHeight="1" x14ac:dyDescent="0.3">
      <c r="A147" s="43"/>
      <c r="B147" s="12" t="s">
        <v>78</v>
      </c>
      <c r="C147" s="43"/>
      <c r="D147" s="43"/>
      <c r="E147" s="43"/>
      <c r="F147" s="12" t="s">
        <v>73</v>
      </c>
      <c r="G147" s="43"/>
      <c r="H147" s="75"/>
      <c r="I147" s="75"/>
      <c r="J147" s="11">
        <v>0</v>
      </c>
      <c r="K147" s="11">
        <v>1</v>
      </c>
      <c r="L147" s="12"/>
      <c r="M147" s="43"/>
      <c r="N147" s="43"/>
      <c r="O147" s="43"/>
      <c r="P147" s="43"/>
      <c r="Q147" s="43"/>
      <c r="R147" s="43"/>
    </row>
    <row r="148" spans="1:18" ht="18" customHeight="1" x14ac:dyDescent="0.3">
      <c r="A148" s="43"/>
      <c r="B148" s="43"/>
      <c r="C148" s="43"/>
      <c r="D148" s="43"/>
      <c r="E148" s="43"/>
      <c r="F148" s="43"/>
      <c r="G148" s="43"/>
      <c r="H148" s="75"/>
      <c r="I148" s="75"/>
      <c r="J148" s="11"/>
      <c r="K148" s="11"/>
      <c r="L148" s="12"/>
      <c r="M148" s="43"/>
      <c r="N148" s="43"/>
      <c r="O148" s="43"/>
      <c r="P148" s="43"/>
      <c r="Q148" s="43"/>
      <c r="R148" s="43"/>
    </row>
    <row r="149" spans="1:18" ht="18" customHeight="1" x14ac:dyDescent="0.3">
      <c r="A149" s="43"/>
      <c r="B149" s="43"/>
      <c r="C149" s="43"/>
      <c r="D149" s="43"/>
      <c r="E149" s="43"/>
      <c r="F149" s="43"/>
      <c r="G149" s="43"/>
      <c r="H149" s="75"/>
      <c r="I149" s="75"/>
      <c r="J149" s="11"/>
      <c r="K149" s="11"/>
      <c r="L149" s="12"/>
      <c r="M149" s="43"/>
      <c r="N149" s="43"/>
      <c r="O149" s="43"/>
      <c r="P149" s="43"/>
      <c r="Q149" s="43"/>
      <c r="R149" s="43"/>
    </row>
    <row r="150" spans="1:18" ht="18" customHeight="1" x14ac:dyDescent="0.3">
      <c r="A150" s="41"/>
      <c r="B150" s="41"/>
      <c r="C150" s="41"/>
      <c r="D150" s="41"/>
      <c r="E150" s="41"/>
      <c r="F150" s="41"/>
      <c r="G150" s="41"/>
      <c r="H150" s="42"/>
      <c r="I150" s="42"/>
      <c r="J150" s="42"/>
      <c r="K150" s="41"/>
      <c r="L150" s="41"/>
      <c r="M150" s="41"/>
      <c r="N150" s="41"/>
      <c r="O150" s="41"/>
      <c r="P150" s="41"/>
      <c r="Q150" s="41"/>
      <c r="R150" s="41"/>
    </row>
    <row r="152" spans="1:18" ht="18" customHeight="1" x14ac:dyDescent="0.3">
      <c r="B152" s="66" t="s">
        <v>84</v>
      </c>
      <c r="C152" s="67"/>
      <c r="D152" s="67"/>
      <c r="E152" s="27">
        <f>'[1]Data Sheet'!$B$16</f>
        <v>42825</v>
      </c>
      <c r="F152" s="27">
        <f>'[1]Data Sheet'!$C$16</f>
        <v>43190</v>
      </c>
      <c r="G152" s="27">
        <f>'[1]Data Sheet'!$D$16</f>
        <v>43555</v>
      </c>
      <c r="H152" s="27">
        <f>'[1]Data Sheet'!$E$16</f>
        <v>43921</v>
      </c>
      <c r="I152" s="27">
        <f>'[1]Data Sheet'!$F$16</f>
        <v>44286</v>
      </c>
      <c r="J152" s="29">
        <f>'[1]Data Sheet'!$G$16</f>
        <v>44651</v>
      </c>
      <c r="K152" s="27">
        <f>'[1]Data Sheet'!$H$16</f>
        <v>45016</v>
      </c>
      <c r="L152" s="27">
        <f>'[1]Data Sheet'!$I$16</f>
        <v>45382</v>
      </c>
      <c r="M152" s="27">
        <f>'[1]Data Sheet'!$J$16</f>
        <v>45747</v>
      </c>
      <c r="N152" s="27">
        <f>'[1]Data Sheet'!$K$16</f>
        <v>46112</v>
      </c>
    </row>
    <row r="153" spans="1:18" ht="18" customHeight="1" x14ac:dyDescent="0.3">
      <c r="B153" s="68" t="s">
        <v>75</v>
      </c>
      <c r="E153" s="69">
        <f>'[1]BS &amp; P&amp;L &amp; Stats'!B6</f>
        <v>55604</v>
      </c>
      <c r="F153" s="69">
        <f>'[1]BS &amp; P&amp;L &amp; Stats'!C6</f>
        <v>71933</v>
      </c>
      <c r="G153" s="69">
        <f>'[1]BS &amp; P&amp;L &amp; Stats'!D6</f>
        <v>84757</v>
      </c>
      <c r="H153" s="69">
        <f>'[1]BS &amp; P&amp;L &amp; Stats'!E6</f>
        <v>73326</v>
      </c>
      <c r="I153" s="69">
        <f>'[1]BS &amp; P&amp;L &amp; Stats'!F6</f>
        <v>79839</v>
      </c>
      <c r="J153" s="69">
        <f>'[1]BS &amp; P&amp;L &amp; Stats'!G6</f>
        <v>146371</v>
      </c>
      <c r="K153" s="69">
        <f>'[1]BS &amp; P&amp;L &amp; Stats'!H6</f>
        <v>165960</v>
      </c>
      <c r="L153" s="69">
        <f>'[1]BS &amp; P&amp;L &amp; Stats'!I6</f>
        <v>175006</v>
      </c>
      <c r="M153" s="69">
        <f>'[1]BS &amp; P&amp;L &amp; Stats'!J6</f>
        <v>168824</v>
      </c>
      <c r="N153" s="69">
        <f>'[1]BS &amp; P&amp;L &amp; Stats'!K6</f>
        <v>185470</v>
      </c>
    </row>
    <row r="154" spans="1:18" ht="18" customHeight="1" x14ac:dyDescent="0.3">
      <c r="B154" s="68" t="s">
        <v>85</v>
      </c>
      <c r="E154" s="69">
        <f>'[1]BS &amp; P&amp;L &amp; Stats'!B106</f>
        <v>4149</v>
      </c>
      <c r="F154" s="69">
        <f>'[1]BS &amp; P&amp;L &amp; Stats'!C106</f>
        <v>4704</v>
      </c>
      <c r="G154" s="69">
        <f>'[1]BS &amp; P&amp;L &amp; Stats'!D106</f>
        <v>7160</v>
      </c>
      <c r="H154" s="69">
        <f>'[1]BS &amp; P&amp;L &amp; Stats'!E106</f>
        <v>4505</v>
      </c>
      <c r="I154" s="69">
        <f>'[1]BS &amp; P&amp;L &amp; Stats'!F106</f>
        <v>4486</v>
      </c>
      <c r="J154" s="69">
        <f>'[1]BS &amp; P&amp;L &amp; Stats'!G106</f>
        <v>7457</v>
      </c>
      <c r="K154" s="69">
        <f>'[1]BS &amp; P&amp;L &amp; Stats'!H106</f>
        <v>7134</v>
      </c>
      <c r="L154" s="69">
        <f>'[1]BS &amp; P&amp;L &amp; Stats'!I106</f>
        <v>7548</v>
      </c>
      <c r="M154" s="69">
        <f>'[1]BS &amp; P&amp;L &amp; Stats'!J106</f>
        <v>8415</v>
      </c>
      <c r="N154" s="69">
        <f>'[1]BS &amp; P&amp;L &amp; Stats'!K106</f>
        <v>11260</v>
      </c>
    </row>
    <row r="155" spans="1:18" ht="18" customHeight="1" x14ac:dyDescent="0.3">
      <c r="B155" s="83" t="s">
        <v>86</v>
      </c>
      <c r="F155" s="86">
        <f>IFERROR(F153/(AVERAGE(E154:F154)),"--")</f>
        <v>16.250536541285442</v>
      </c>
      <c r="G155" s="86">
        <f t="shared" ref="G155:I155" si="7">IFERROR(G153/(AVERAGE(F154:G154)),"--")</f>
        <v>14.288098449089683</v>
      </c>
      <c r="H155" s="86">
        <f t="shared" si="7"/>
        <v>12.571967423917702</v>
      </c>
      <c r="I155" s="86">
        <f t="shared" si="7"/>
        <v>17.75975975975976</v>
      </c>
      <c r="J155" s="86">
        <f>IFERROR(J153/(AVERAGE(I154:J154)),"--")</f>
        <v>24.511596751235032</v>
      </c>
      <c r="K155" s="86">
        <f t="shared" ref="K155:N155" si="8">IFERROR(K153/(AVERAGE(J154:K154)),"--")</f>
        <v>22.748269481187034</v>
      </c>
      <c r="L155" s="86">
        <f t="shared" si="8"/>
        <v>23.839531398991962</v>
      </c>
      <c r="M155" s="86">
        <f t="shared" si="8"/>
        <v>21.151913800664037</v>
      </c>
      <c r="N155" s="86">
        <f t="shared" si="8"/>
        <v>18.853367217280812</v>
      </c>
    </row>
    <row r="156" spans="1:18" ht="18" customHeight="1" x14ac:dyDescent="0.3">
      <c r="B156" s="83" t="s">
        <v>87</v>
      </c>
      <c r="F156" s="87">
        <f t="shared" ref="F156:I156" si="9">IFERROR(365/(F153/(AVERAGE(E154:F154))),"--")</f>
        <v>22.460796852626746</v>
      </c>
      <c r="G156" s="87">
        <f t="shared" si="9"/>
        <v>25.545736635322157</v>
      </c>
      <c r="H156" s="87">
        <f t="shared" si="9"/>
        <v>29.032846466464829</v>
      </c>
      <c r="I156" s="87">
        <f t="shared" si="9"/>
        <v>20.552079810618871</v>
      </c>
      <c r="J156" s="87">
        <f>IFERROR(365/(J153/(AVERAGE(I154:J154))),"--")</f>
        <v>14.890910767843357</v>
      </c>
      <c r="K156" s="87">
        <f t="shared" ref="K156:N156" si="10">IFERROR(365/(K153/(AVERAGE(J154:K154))),"--")</f>
        <v>16.045176548565919</v>
      </c>
      <c r="L156" s="87">
        <f t="shared" si="10"/>
        <v>15.310703633018298</v>
      </c>
      <c r="M156" s="87">
        <f t="shared" si="10"/>
        <v>17.256121759939344</v>
      </c>
      <c r="N156" s="87">
        <f t="shared" si="10"/>
        <v>19.359936917021621</v>
      </c>
    </row>
    <row r="158" spans="1:18" ht="18" customHeight="1" x14ac:dyDescent="0.3">
      <c r="A158" s="42"/>
      <c r="B158" s="41"/>
      <c r="C158" s="41"/>
      <c r="D158" s="41"/>
      <c r="E158" s="73"/>
      <c r="F158" s="73"/>
      <c r="G158" s="73"/>
      <c r="H158" s="73"/>
      <c r="I158" s="73"/>
      <c r="J158" s="74"/>
      <c r="K158" s="73"/>
      <c r="L158" s="73"/>
      <c r="M158" s="73"/>
      <c r="N158" s="73"/>
      <c r="O158" s="73"/>
      <c r="P158" s="73"/>
      <c r="Q158" s="41"/>
      <c r="R158" s="41"/>
    </row>
    <row r="159" spans="1:18" ht="18" customHeight="1" x14ac:dyDescent="0.3">
      <c r="A159" s="11">
        <f>A146+1</f>
        <v>10</v>
      </c>
      <c r="B159" s="12" t="s">
        <v>88</v>
      </c>
      <c r="C159" s="12"/>
      <c r="D159" s="13"/>
      <c r="E159" s="12"/>
      <c r="F159" s="12" t="s">
        <v>89</v>
      </c>
      <c r="G159" s="12"/>
      <c r="H159" s="12"/>
      <c r="I159" s="12"/>
      <c r="J159" s="11">
        <v>3</v>
      </c>
      <c r="K159" s="11">
        <v>3</v>
      </c>
      <c r="L159" s="12"/>
      <c r="M159" s="12"/>
      <c r="N159" s="12"/>
      <c r="O159" s="12"/>
      <c r="P159" s="12"/>
      <c r="Q159" s="43"/>
      <c r="R159" s="43"/>
    </row>
    <row r="160" spans="1:18" ht="18" customHeight="1" x14ac:dyDescent="0.3">
      <c r="A160" s="43"/>
      <c r="B160" s="43"/>
      <c r="C160" s="43"/>
      <c r="D160" s="43"/>
      <c r="E160" s="43"/>
      <c r="F160" s="43"/>
      <c r="G160" s="43"/>
      <c r="H160" s="75"/>
      <c r="I160" s="75"/>
      <c r="J160" s="11"/>
      <c r="K160" s="11"/>
      <c r="L160" s="12"/>
      <c r="M160" s="12"/>
      <c r="N160" s="43"/>
      <c r="O160" s="43"/>
      <c r="P160" s="43"/>
      <c r="Q160" s="43"/>
      <c r="R160" s="43"/>
    </row>
    <row r="161" spans="1:18" ht="18" customHeight="1" x14ac:dyDescent="0.3">
      <c r="A161" s="43"/>
      <c r="B161" s="43"/>
      <c r="C161" s="43"/>
      <c r="D161" s="43"/>
      <c r="E161" s="43"/>
      <c r="F161" s="43"/>
      <c r="G161" s="43"/>
      <c r="H161" s="75"/>
      <c r="I161" s="75"/>
      <c r="J161" s="11"/>
      <c r="K161" s="11"/>
      <c r="L161" s="12"/>
      <c r="M161" s="12"/>
      <c r="N161" s="43"/>
      <c r="O161" s="43"/>
      <c r="P161" s="43"/>
      <c r="Q161" s="43"/>
      <c r="R161" s="43"/>
    </row>
    <row r="162" spans="1:18" ht="18" customHeight="1" x14ac:dyDescent="0.3">
      <c r="A162" s="43"/>
      <c r="B162" s="43"/>
      <c r="C162" s="43"/>
      <c r="D162" s="43"/>
      <c r="E162" s="43"/>
      <c r="F162" s="43"/>
      <c r="G162" s="43"/>
      <c r="H162" s="75"/>
      <c r="I162" s="75"/>
      <c r="J162" s="11"/>
      <c r="K162" s="11"/>
      <c r="L162" s="12"/>
      <c r="M162" s="12"/>
      <c r="N162" s="43"/>
      <c r="O162" s="43"/>
      <c r="P162" s="43"/>
      <c r="Q162" s="43"/>
      <c r="R162" s="43"/>
    </row>
    <row r="163" spans="1:18" ht="18" customHeight="1" x14ac:dyDescent="0.3">
      <c r="A163" s="41"/>
      <c r="B163" s="41"/>
      <c r="C163" s="41"/>
      <c r="D163" s="41"/>
      <c r="E163" s="41"/>
      <c r="F163" s="41"/>
      <c r="G163" s="41"/>
      <c r="H163" s="42"/>
      <c r="I163" s="42"/>
      <c r="J163" s="42"/>
      <c r="K163" s="41"/>
      <c r="L163" s="41"/>
      <c r="M163" s="41"/>
      <c r="N163" s="41"/>
      <c r="O163" s="41"/>
      <c r="P163" s="41"/>
      <c r="Q163" s="41"/>
      <c r="R163" s="41"/>
    </row>
    <row r="164" spans="1:18" ht="18" customHeight="1" x14ac:dyDescent="0.3">
      <c r="A164" s="3"/>
      <c r="E164" s="65" t="s">
        <v>50</v>
      </c>
      <c r="F164" s="65" t="s">
        <v>51</v>
      </c>
      <c r="G164" s="65" t="s">
        <v>60</v>
      </c>
    </row>
    <row r="165" spans="1:18" ht="18" customHeight="1" x14ac:dyDescent="0.3">
      <c r="A165" s="3" t="s">
        <v>13</v>
      </c>
      <c r="B165" s="2" t="s">
        <v>90</v>
      </c>
      <c r="E165" s="21">
        <f>'[1]BS &amp; P&amp;L &amp; Stats'!K80</f>
        <v>1</v>
      </c>
      <c r="F165" s="21">
        <f>'[1]BS &amp; P&amp;L &amp; Stats'!K81</f>
        <v>1</v>
      </c>
      <c r="G165" s="21">
        <f>'[1]BS &amp; P&amp;L &amp; Stats'!K82</f>
        <v>1</v>
      </c>
    </row>
    <row r="166" spans="1:18" ht="18" customHeight="1" x14ac:dyDescent="0.3">
      <c r="A166" s="3"/>
      <c r="B166" s="2" t="s">
        <v>91</v>
      </c>
      <c r="E166" s="2">
        <f>'[1]BS &amp; P&amp;L &amp; Stats'!I80</f>
        <v>10</v>
      </c>
      <c r="F166" s="2">
        <f>'[1]BS &amp; P&amp;L &amp; Stats'!I81</f>
        <v>3</v>
      </c>
      <c r="G166" s="2">
        <f>'[1]BS &amp; P&amp;L &amp; Stats'!I82</f>
        <v>1</v>
      </c>
    </row>
    <row r="168" spans="1:18" ht="18" customHeight="1" x14ac:dyDescent="0.3">
      <c r="B168" s="66" t="s">
        <v>92</v>
      </c>
      <c r="C168" s="67"/>
      <c r="D168" s="67"/>
      <c r="E168" s="27">
        <f>'[1]Data Sheet'!$B$16</f>
        <v>42825</v>
      </c>
      <c r="F168" s="27">
        <f>'[1]Data Sheet'!$C$16</f>
        <v>43190</v>
      </c>
      <c r="G168" s="27">
        <f>'[1]Data Sheet'!$D$16</f>
        <v>43555</v>
      </c>
      <c r="H168" s="27">
        <f>'[1]Data Sheet'!$E$16</f>
        <v>43921</v>
      </c>
      <c r="I168" s="27">
        <f>'[1]Data Sheet'!$F$16</f>
        <v>44286</v>
      </c>
      <c r="J168" s="29">
        <f>'[1]Data Sheet'!$G$16</f>
        <v>44651</v>
      </c>
      <c r="K168" s="27">
        <f>'[1]Data Sheet'!$H$16</f>
        <v>45016</v>
      </c>
      <c r="L168" s="27">
        <f>'[1]Data Sheet'!$I$16</f>
        <v>45382</v>
      </c>
      <c r="M168" s="27">
        <f>'[1]Data Sheet'!$J$16</f>
        <v>45747</v>
      </c>
      <c r="N168" s="27">
        <f>'[1]Data Sheet'!$K$16</f>
        <v>46112</v>
      </c>
    </row>
    <row r="169" spans="1:18" ht="18" customHeight="1" x14ac:dyDescent="0.3">
      <c r="B169" s="68" t="str">
        <f>'[1]BS &amp; P&amp;L &amp; Stats'!A129</f>
        <v>Cash from Operating Activity</v>
      </c>
      <c r="E169" s="88">
        <f>'[1]BS &amp; P&amp;L &amp; Stats'!B129</f>
        <v>7888</v>
      </c>
      <c r="F169" s="88">
        <f>'[1]BS &amp; P&amp;L &amp; Stats'!C129</f>
        <v>12379</v>
      </c>
      <c r="G169" s="88">
        <f>'[1]BS &amp; P&amp;L &amp; Stats'!D129</f>
        <v>14633</v>
      </c>
      <c r="H169" s="88">
        <f>'[1]BS &amp; P&amp;L &amp; Stats'!E129</f>
        <v>12785</v>
      </c>
      <c r="I169" s="88">
        <f>'[1]BS &amp; P&amp;L &amp; Stats'!F129</f>
        <v>18831</v>
      </c>
      <c r="J169" s="89">
        <f>'[1]BS &amp; P&amp;L &amp; Stats'!G129</f>
        <v>26270</v>
      </c>
      <c r="K169" s="88">
        <f>'[1]BS &amp; P&amp;L &amp; Stats'!H129</f>
        <v>23323</v>
      </c>
      <c r="L169" s="88">
        <f>'[1]BS &amp; P&amp;L &amp; Stats'!I129</f>
        <v>12078</v>
      </c>
      <c r="M169" s="88">
        <f>'[1]BS &amp; P&amp;L &amp; Stats'!J129</f>
        <v>20899</v>
      </c>
      <c r="N169" s="88">
        <f>'[1]BS &amp; P&amp;L &amp; Stats'!K129</f>
        <v>25152</v>
      </c>
    </row>
    <row r="171" spans="1:18" ht="18" customHeight="1" x14ac:dyDescent="0.3">
      <c r="A171" s="42"/>
      <c r="B171" s="41"/>
      <c r="C171" s="41"/>
      <c r="D171" s="41"/>
      <c r="E171" s="73"/>
      <c r="F171" s="73"/>
      <c r="G171" s="73"/>
      <c r="H171" s="73"/>
      <c r="I171" s="73"/>
      <c r="J171" s="74"/>
      <c r="K171" s="73"/>
      <c r="L171" s="73"/>
      <c r="M171" s="73"/>
      <c r="N171" s="73"/>
      <c r="O171" s="73"/>
      <c r="P171" s="73"/>
      <c r="Q171" s="41"/>
      <c r="R171" s="41"/>
    </row>
    <row r="172" spans="1:18" ht="18" customHeight="1" x14ac:dyDescent="0.3">
      <c r="A172" s="11">
        <f>A159+1</f>
        <v>11</v>
      </c>
      <c r="B172" s="12" t="s">
        <v>93</v>
      </c>
      <c r="C172" s="12"/>
      <c r="D172" s="13"/>
      <c r="E172" s="12"/>
      <c r="F172" s="12" t="s">
        <v>94</v>
      </c>
      <c r="G172" s="12"/>
      <c r="H172" s="12"/>
      <c r="I172" s="12"/>
      <c r="J172" s="11">
        <v>3</v>
      </c>
      <c r="K172" s="11">
        <v>3</v>
      </c>
      <c r="L172" s="12"/>
      <c r="M172" s="12"/>
      <c r="N172" s="12"/>
      <c r="O172" s="12"/>
      <c r="P172" s="43"/>
      <c r="Q172" s="43"/>
      <c r="R172" s="43"/>
    </row>
    <row r="173" spans="1:18" ht="18" customHeight="1" x14ac:dyDescent="0.3">
      <c r="A173" s="43"/>
      <c r="B173" s="43"/>
      <c r="C173" s="43"/>
      <c r="D173" s="43"/>
      <c r="E173" s="43"/>
      <c r="F173" s="12"/>
      <c r="G173" s="43"/>
      <c r="H173" s="75"/>
      <c r="I173" s="75"/>
      <c r="J173" s="11"/>
      <c r="K173" s="11"/>
      <c r="L173" s="12"/>
      <c r="M173" s="12"/>
      <c r="N173" s="12"/>
      <c r="O173" s="12"/>
      <c r="P173" s="12"/>
      <c r="Q173" s="12"/>
      <c r="R173" s="12"/>
    </row>
    <row r="174" spans="1:18" ht="18" customHeight="1" x14ac:dyDescent="0.3">
      <c r="A174" s="43"/>
      <c r="B174" s="43"/>
      <c r="C174" s="43"/>
      <c r="D174" s="43"/>
      <c r="E174" s="43"/>
      <c r="F174" s="12"/>
      <c r="G174" s="43"/>
      <c r="H174" s="75"/>
      <c r="I174" s="75"/>
      <c r="J174" s="11"/>
      <c r="K174" s="11"/>
      <c r="L174" s="12"/>
      <c r="M174" s="12"/>
      <c r="N174" s="12"/>
      <c r="O174" s="12"/>
      <c r="P174" s="12"/>
      <c r="Q174" s="12"/>
      <c r="R174" s="12"/>
    </row>
    <row r="175" spans="1:18" ht="18" customHeight="1" x14ac:dyDescent="0.3">
      <c r="A175" s="43"/>
      <c r="B175" s="43"/>
      <c r="C175" s="43"/>
      <c r="D175" s="43"/>
      <c r="E175" s="43"/>
      <c r="F175" s="12"/>
      <c r="G175" s="43"/>
      <c r="H175" s="75"/>
      <c r="I175" s="75"/>
      <c r="J175" s="11"/>
      <c r="K175" s="11"/>
      <c r="L175" s="12"/>
      <c r="M175" s="12"/>
      <c r="N175" s="12"/>
      <c r="O175" s="12"/>
      <c r="P175" s="12"/>
      <c r="Q175" s="12"/>
      <c r="R175" s="12"/>
    </row>
    <row r="176" spans="1:18" ht="18" customHeight="1" x14ac:dyDescent="0.3">
      <c r="A176" s="7"/>
      <c r="B176" s="15"/>
      <c r="C176" s="7"/>
      <c r="D176" s="7"/>
      <c r="E176" s="7"/>
      <c r="F176" s="7"/>
      <c r="G176" s="7"/>
      <c r="H176" s="7"/>
      <c r="I176" s="7"/>
      <c r="J176" s="10"/>
      <c r="K176" s="7"/>
      <c r="L176" s="7"/>
      <c r="M176" s="7"/>
      <c r="N176" s="7"/>
      <c r="O176" s="7"/>
      <c r="P176" s="7"/>
      <c r="Q176" s="16"/>
      <c r="R176" s="16"/>
    </row>
    <row r="177" spans="1:18" ht="18" customHeight="1" x14ac:dyDescent="0.3">
      <c r="F177" s="65" t="s">
        <v>50</v>
      </c>
      <c r="G177" s="65" t="s">
        <v>95</v>
      </c>
    </row>
    <row r="178" spans="1:18" ht="18" customHeight="1" x14ac:dyDescent="0.3">
      <c r="A178" s="3" t="s">
        <v>13</v>
      </c>
      <c r="B178" s="2" t="s">
        <v>96</v>
      </c>
      <c r="E178" s="76"/>
      <c r="F178" s="81">
        <f>'[1]BS &amp; P&amp;L &amp; Stats'!D86</f>
        <v>174238</v>
      </c>
      <c r="G178" s="81">
        <f>SUM(J184:N184)</f>
        <v>107722</v>
      </c>
      <c r="I178" s="90" t="str">
        <f>IF(F178&lt;0,"Cumulative Cash Flow -ve","--")</f>
        <v>--</v>
      </c>
    </row>
    <row r="179" spans="1:18" ht="18" customHeight="1" x14ac:dyDescent="0.3">
      <c r="A179" s="3" t="s">
        <v>18</v>
      </c>
      <c r="B179" s="2" t="s">
        <v>97</v>
      </c>
      <c r="F179" s="81">
        <f>'[1]BS &amp; P&amp;L &amp; Stats'!D87</f>
        <v>88758</v>
      </c>
      <c r="G179" s="81">
        <f>SUM(J185:N185)</f>
        <v>59441</v>
      </c>
      <c r="I179" s="90" t="str">
        <f>IF(F179&lt;0,"Cumulative PAT -ve","--")</f>
        <v>--</v>
      </c>
      <c r="P179" s="2" t="s">
        <v>98</v>
      </c>
    </row>
    <row r="180" spans="1:18" ht="18" customHeight="1" x14ac:dyDescent="0.55000000000000004">
      <c r="B180" s="2" t="s">
        <v>99</v>
      </c>
      <c r="F180" s="88">
        <f>'[1]BS &amp; P&amp;L &amp; Stats'!D88</f>
        <v>85480</v>
      </c>
      <c r="G180" s="88">
        <f>G178-G179</f>
        <v>48281</v>
      </c>
      <c r="I180" s="90" t="str">
        <f>IF(AND(F180&lt;0,F179&gt;0),"10 Yr Cumulative Cash Flow &lt; Cumulative PAT",IF(AND(F178&gt;0,F180&gt;0),"10 Yr Cumulative Cash Flow &gt; Cumulative Profits","--"))</f>
        <v>10 Yr Cumulative Cash Flow &gt; Cumulative Profits</v>
      </c>
      <c r="P180" s="91" t="s">
        <v>100</v>
      </c>
    </row>
    <row r="181" spans="1:18" ht="18" customHeight="1" x14ac:dyDescent="0.3">
      <c r="B181" s="2" t="s">
        <v>101</v>
      </c>
      <c r="F181" s="92">
        <f>IF(AND(F178&gt;0,F179&lt;0),ABS(F178/F179),F178/F179)</f>
        <v>1.9630681178034657</v>
      </c>
      <c r="G181" s="92">
        <f>IF(AND(G178&gt;0,G179&lt;0),ABS(G178/G179),G178/G179)</f>
        <v>1.8122508033175755</v>
      </c>
      <c r="I181" s="90" t="str">
        <f>IF(AND(G180&lt;0,G179&gt;0),"5 Yr Cumulative Cash Flow &lt; Cumulative PAT",IF(AND(G178&gt;0,G180&gt;0),"5 Yr Cumulative Cash Flow &gt; Cumulative Profits","--"))</f>
        <v>5 Yr Cumulative Cash Flow &gt; Cumulative Profits</v>
      </c>
    </row>
    <row r="183" spans="1:18" ht="18" customHeight="1" x14ac:dyDescent="0.3">
      <c r="B183" s="66" t="s">
        <v>102</v>
      </c>
      <c r="C183" s="67"/>
      <c r="D183" s="67"/>
      <c r="E183" s="27">
        <f>'[1]Data Sheet'!$B$16</f>
        <v>42825</v>
      </c>
      <c r="F183" s="27">
        <f>'[1]Data Sheet'!$C$16</f>
        <v>43190</v>
      </c>
      <c r="G183" s="27">
        <f>'[1]Data Sheet'!$D$16</f>
        <v>43555</v>
      </c>
      <c r="H183" s="27">
        <f>'[1]Data Sheet'!$E$16</f>
        <v>43921</v>
      </c>
      <c r="I183" s="27">
        <f>'[1]Data Sheet'!$F$16</f>
        <v>44286</v>
      </c>
      <c r="J183" s="29">
        <f>'[1]Data Sheet'!$G$16</f>
        <v>44651</v>
      </c>
      <c r="K183" s="27">
        <f>'[1]Data Sheet'!$H$16</f>
        <v>45016</v>
      </c>
      <c r="L183" s="27">
        <f>'[1]Data Sheet'!$I$16</f>
        <v>45382</v>
      </c>
      <c r="M183" s="27">
        <f>'[1]Data Sheet'!$J$16</f>
        <v>45747</v>
      </c>
      <c r="N183" s="27">
        <f>'[1]Data Sheet'!$K$16</f>
        <v>46112</v>
      </c>
      <c r="O183" s="27" t="s">
        <v>103</v>
      </c>
    </row>
    <row r="184" spans="1:18" ht="18" customHeight="1" x14ac:dyDescent="0.3">
      <c r="B184" s="68" t="str">
        <f>'[1]BS &amp; P&amp;L &amp; Stats'!A129</f>
        <v>Cash from Operating Activity</v>
      </c>
      <c r="E184" s="88">
        <f>'[1]BS &amp; P&amp;L &amp; Stats'!B129</f>
        <v>7888</v>
      </c>
      <c r="F184" s="88">
        <f>'[1]BS &amp; P&amp;L &amp; Stats'!C129</f>
        <v>12379</v>
      </c>
      <c r="G184" s="88">
        <f>'[1]BS &amp; P&amp;L &amp; Stats'!D129</f>
        <v>14633</v>
      </c>
      <c r="H184" s="88">
        <f>'[1]BS &amp; P&amp;L &amp; Stats'!E129</f>
        <v>12785</v>
      </c>
      <c r="I184" s="88">
        <f>'[1]BS &amp; P&amp;L &amp; Stats'!F129</f>
        <v>18831</v>
      </c>
      <c r="J184" s="89">
        <f>'[1]BS &amp; P&amp;L &amp; Stats'!G129</f>
        <v>26270</v>
      </c>
      <c r="K184" s="88">
        <f>'[1]BS &amp; P&amp;L &amp; Stats'!H129</f>
        <v>23323</v>
      </c>
      <c r="L184" s="88">
        <f>'[1]BS &amp; P&amp;L &amp; Stats'!I129</f>
        <v>12078</v>
      </c>
      <c r="M184" s="88">
        <f>'[1]BS &amp; P&amp;L &amp; Stats'!J129</f>
        <v>20899</v>
      </c>
      <c r="N184" s="88">
        <f>'[1]BS &amp; P&amp;L &amp; Stats'!K129</f>
        <v>25152</v>
      </c>
      <c r="O184" s="88">
        <f>SUM(E184:N184)</f>
        <v>174238</v>
      </c>
    </row>
    <row r="185" spans="1:18" ht="18" customHeight="1" x14ac:dyDescent="0.3">
      <c r="B185" s="68" t="s">
        <v>97</v>
      </c>
      <c r="E185" s="88">
        <f>'[1]BS &amp; P&amp;L &amp; Stats'!B24</f>
        <v>3523</v>
      </c>
      <c r="F185" s="88">
        <f>'[1]BS &amp; P&amp;L &amp; Stats'!C24</f>
        <v>6214</v>
      </c>
      <c r="G185" s="88">
        <f>'[1]BS &amp; P&amp;L &amp; Stats'!D24</f>
        <v>7639</v>
      </c>
      <c r="H185" s="88">
        <f>'[1]BS &amp; P&amp;L &amp; Stats'!E24</f>
        <v>4030</v>
      </c>
      <c r="I185" s="88">
        <f>'[1]BS &amp; P&amp;L &amp; Stats'!F24</f>
        <v>7911</v>
      </c>
      <c r="J185" s="89">
        <f>'[1]BS &amp; P&amp;L &amp; Stats'!G24</f>
        <v>20665</v>
      </c>
      <c r="K185" s="88">
        <f>'[1]BS &amp; P&amp;L &amp; Stats'!H24</f>
        <v>4144</v>
      </c>
      <c r="L185" s="88">
        <f>'[1]BS &amp; P&amp;L &amp; Stats'!I24</f>
        <v>8812</v>
      </c>
      <c r="M185" s="88">
        <f>'[1]BS &amp; P&amp;L &amp; Stats'!J24</f>
        <v>3504</v>
      </c>
      <c r="N185" s="88">
        <f>'[1]BS &amp; P&amp;L &amp; Stats'!K24</f>
        <v>22316</v>
      </c>
      <c r="O185" s="88">
        <f>SUM(E185:N185)</f>
        <v>88758</v>
      </c>
    </row>
    <row r="186" spans="1:18" ht="18" customHeight="1" x14ac:dyDescent="0.3">
      <c r="B186" s="68" t="s">
        <v>104</v>
      </c>
      <c r="E186" s="88" t="str">
        <f>IF(E184&gt;=E185,"Yes","No")</f>
        <v>Yes</v>
      </c>
      <c r="F186" s="88" t="str">
        <f t="shared" ref="F186:O186" si="11">IF(F184&gt;=F185,"Yes","No")</f>
        <v>Yes</v>
      </c>
      <c r="G186" s="88" t="str">
        <f t="shared" si="11"/>
        <v>Yes</v>
      </c>
      <c r="H186" s="88" t="str">
        <f t="shared" si="11"/>
        <v>Yes</v>
      </c>
      <c r="I186" s="88" t="str">
        <f t="shared" si="11"/>
        <v>Yes</v>
      </c>
      <c r="J186" s="88" t="str">
        <f t="shared" si="11"/>
        <v>Yes</v>
      </c>
      <c r="K186" s="88" t="str">
        <f t="shared" si="11"/>
        <v>Yes</v>
      </c>
      <c r="L186" s="88" t="str">
        <f t="shared" si="11"/>
        <v>Yes</v>
      </c>
      <c r="M186" s="88" t="str">
        <f t="shared" si="11"/>
        <v>Yes</v>
      </c>
      <c r="N186" s="88" t="str">
        <f t="shared" si="11"/>
        <v>Yes</v>
      </c>
      <c r="O186" s="88" t="str">
        <f t="shared" si="11"/>
        <v>Yes</v>
      </c>
    </row>
    <row r="187" spans="1:18" ht="18" customHeight="1" x14ac:dyDescent="0.3">
      <c r="B187" s="2" t="s">
        <v>105</v>
      </c>
      <c r="E187" s="93">
        <f>IF(OR(E184&lt;0,E185&lt;0),"NA",E184/E185)</f>
        <v>2.2390008515469768</v>
      </c>
      <c r="F187" s="93">
        <f t="shared" ref="F187:O187" si="12">IF(OR(F184&lt;0,F185&lt;0),"NA",F184/F185)</f>
        <v>1.9921145799806887</v>
      </c>
      <c r="G187" s="93">
        <f t="shared" si="12"/>
        <v>1.9155648645110617</v>
      </c>
      <c r="H187" s="93">
        <f t="shared" si="12"/>
        <v>3.1724565756823822</v>
      </c>
      <c r="I187" s="93">
        <f t="shared" si="12"/>
        <v>2.3803564656806979</v>
      </c>
      <c r="J187" s="93">
        <f t="shared" si="12"/>
        <v>1.2712315509315268</v>
      </c>
      <c r="K187" s="93">
        <f t="shared" si="12"/>
        <v>5.6281370656370653</v>
      </c>
      <c r="L187" s="93">
        <f t="shared" si="12"/>
        <v>1.3706309577848388</v>
      </c>
      <c r="M187" s="93">
        <f t="shared" si="12"/>
        <v>5.9643264840182653</v>
      </c>
      <c r="N187" s="93">
        <f t="shared" si="12"/>
        <v>1.1270837067574835</v>
      </c>
      <c r="O187" s="93">
        <f t="shared" si="12"/>
        <v>1.9630681178034657</v>
      </c>
    </row>
    <row r="188" spans="1:18" ht="18" customHeight="1" x14ac:dyDescent="0.3">
      <c r="H188" s="2"/>
      <c r="I188" s="2"/>
    </row>
    <row r="189" spans="1:18" ht="18" customHeight="1" x14ac:dyDescent="0.3">
      <c r="A189" s="42"/>
      <c r="B189" s="41"/>
      <c r="C189" s="41"/>
      <c r="D189" s="41"/>
      <c r="E189" s="73"/>
      <c r="F189" s="73"/>
      <c r="G189" s="73"/>
      <c r="H189" s="73"/>
      <c r="I189" s="73"/>
      <c r="J189" s="74"/>
      <c r="K189" s="73"/>
      <c r="L189" s="73"/>
      <c r="M189" s="73"/>
      <c r="N189" s="73"/>
      <c r="O189" s="73"/>
      <c r="P189" s="73"/>
      <c r="Q189" s="41"/>
      <c r="R189" s="41"/>
    </row>
    <row r="190" spans="1:18" ht="18" customHeight="1" x14ac:dyDescent="0.3">
      <c r="A190" s="11">
        <f>A172+1</f>
        <v>12</v>
      </c>
      <c r="B190" s="12" t="s">
        <v>106</v>
      </c>
      <c r="C190" s="12"/>
      <c r="D190" s="13"/>
      <c r="E190" s="12"/>
      <c r="F190" s="94" t="s">
        <v>11</v>
      </c>
      <c r="G190" s="43"/>
      <c r="H190" s="75"/>
      <c r="I190" s="75"/>
      <c r="J190" s="11" t="s">
        <v>107</v>
      </c>
      <c r="K190" s="11">
        <v>2</v>
      </c>
      <c r="L190" s="12" t="s">
        <v>108</v>
      </c>
      <c r="M190" s="11"/>
      <c r="N190" s="43"/>
      <c r="O190" s="43"/>
      <c r="P190" s="43"/>
      <c r="Q190" s="43"/>
      <c r="R190" s="43"/>
    </row>
    <row r="191" spans="1:18" ht="18" customHeight="1" x14ac:dyDescent="0.3">
      <c r="A191" s="43"/>
      <c r="B191" s="43"/>
      <c r="C191" s="43"/>
      <c r="D191" s="43"/>
      <c r="E191" s="43"/>
      <c r="F191" s="94" t="s">
        <v>109</v>
      </c>
      <c r="G191" s="43"/>
      <c r="H191" s="75"/>
      <c r="I191" s="75"/>
      <c r="J191" s="11"/>
      <c r="K191" s="11"/>
      <c r="L191" s="12"/>
      <c r="M191" s="11"/>
      <c r="N191" s="43"/>
      <c r="O191" s="43"/>
      <c r="P191" s="43"/>
      <c r="Q191" s="43"/>
      <c r="R191" s="43"/>
    </row>
    <row r="192" spans="1:18" ht="18" customHeight="1" x14ac:dyDescent="0.3">
      <c r="A192" s="43"/>
      <c r="B192" s="43"/>
      <c r="C192" s="43"/>
      <c r="D192" s="43"/>
      <c r="E192" s="43"/>
      <c r="F192" s="94" t="s">
        <v>110</v>
      </c>
      <c r="G192" s="43"/>
      <c r="H192" s="75"/>
      <c r="I192" s="75"/>
      <c r="J192" s="11"/>
      <c r="K192" s="11"/>
      <c r="L192" s="12"/>
      <c r="M192" s="11"/>
      <c r="N192" s="43"/>
      <c r="O192" s="43"/>
      <c r="P192" s="43"/>
      <c r="Q192" s="43"/>
      <c r="R192" s="43"/>
    </row>
    <row r="193" spans="1:18" ht="18" customHeight="1" x14ac:dyDescent="0.3">
      <c r="A193" s="43"/>
      <c r="B193" s="43"/>
      <c r="C193" s="43"/>
      <c r="D193" s="43"/>
      <c r="E193" s="43"/>
      <c r="F193" s="94" t="s">
        <v>111</v>
      </c>
      <c r="G193" s="43"/>
      <c r="H193" s="75"/>
      <c r="I193" s="75"/>
      <c r="J193" s="11"/>
      <c r="K193" s="11"/>
      <c r="L193" s="12"/>
      <c r="M193" s="11"/>
      <c r="N193" s="43"/>
      <c r="O193" s="43"/>
      <c r="P193" s="43"/>
      <c r="Q193" s="43"/>
      <c r="R193" s="43"/>
    </row>
    <row r="194" spans="1:18" ht="18" customHeight="1" x14ac:dyDescent="0.3">
      <c r="A194" s="43"/>
      <c r="B194" s="43"/>
      <c r="C194" s="43"/>
      <c r="D194" s="43"/>
      <c r="E194" s="43"/>
      <c r="F194" s="94" t="s">
        <v>112</v>
      </c>
      <c r="G194" s="43"/>
      <c r="H194" s="75"/>
      <c r="I194" s="75"/>
      <c r="J194" s="11"/>
      <c r="K194" s="11"/>
      <c r="L194" s="12"/>
      <c r="M194" s="11"/>
      <c r="N194" s="43"/>
      <c r="O194" s="43"/>
      <c r="P194" s="43"/>
      <c r="Q194" s="43"/>
      <c r="R194" s="43"/>
    </row>
    <row r="195" spans="1:18" ht="18" customHeight="1" x14ac:dyDescent="0.3">
      <c r="A195" s="43"/>
      <c r="B195" s="43"/>
      <c r="C195" s="43"/>
      <c r="D195" s="43"/>
      <c r="E195" s="43"/>
      <c r="F195" s="94" t="s">
        <v>113</v>
      </c>
      <c r="G195" s="43"/>
      <c r="H195" s="75"/>
      <c r="I195" s="75"/>
      <c r="J195" s="11"/>
      <c r="K195" s="11"/>
      <c r="L195" s="12"/>
      <c r="M195" s="11"/>
      <c r="N195" s="43"/>
      <c r="O195" s="43"/>
      <c r="P195" s="43"/>
      <c r="Q195" s="43"/>
      <c r="R195" s="43"/>
    </row>
    <row r="196" spans="1:18" ht="18" customHeight="1" x14ac:dyDescent="0.3">
      <c r="A196" s="43"/>
      <c r="B196" s="43"/>
      <c r="C196" s="43"/>
      <c r="D196" s="43"/>
      <c r="E196" s="43"/>
      <c r="F196" s="94"/>
      <c r="G196" s="43"/>
      <c r="H196" s="75"/>
      <c r="I196" s="75"/>
      <c r="J196" s="11"/>
      <c r="K196" s="11"/>
      <c r="L196" s="12"/>
      <c r="M196" s="11"/>
      <c r="N196" s="43"/>
      <c r="O196" s="43"/>
      <c r="P196" s="43"/>
      <c r="Q196" s="43"/>
      <c r="R196" s="43"/>
    </row>
    <row r="197" spans="1:18" ht="18" customHeight="1" x14ac:dyDescent="0.3">
      <c r="A197" s="43"/>
      <c r="B197" s="12" t="s">
        <v>114</v>
      </c>
      <c r="C197" s="43"/>
      <c r="D197" s="43"/>
      <c r="E197" s="43"/>
      <c r="F197" s="94"/>
      <c r="G197" s="43"/>
      <c r="H197" s="75"/>
      <c r="I197" s="75"/>
      <c r="J197" s="11"/>
      <c r="K197" s="11"/>
      <c r="L197" s="12"/>
      <c r="M197" s="11"/>
      <c r="N197" s="43"/>
      <c r="O197" s="43"/>
      <c r="P197" s="43"/>
      <c r="Q197" s="43"/>
      <c r="R197" s="43"/>
    </row>
    <row r="198" spans="1:18" ht="18" customHeight="1" x14ac:dyDescent="0.3">
      <c r="A198" s="43"/>
      <c r="B198" s="43"/>
      <c r="C198" s="43"/>
      <c r="D198" s="43"/>
      <c r="E198" s="43"/>
      <c r="F198" s="94"/>
      <c r="G198" s="43"/>
      <c r="H198" s="75"/>
      <c r="I198" s="75"/>
      <c r="J198" s="11"/>
      <c r="K198" s="11"/>
      <c r="L198" s="12"/>
      <c r="M198" s="11"/>
      <c r="N198" s="43"/>
      <c r="O198" s="43"/>
      <c r="P198" s="43"/>
      <c r="Q198" s="43"/>
      <c r="R198" s="43"/>
    </row>
    <row r="199" spans="1:18" ht="18" customHeight="1" x14ac:dyDescent="0.3">
      <c r="A199" s="7"/>
      <c r="B199" s="15"/>
      <c r="C199" s="7"/>
      <c r="D199" s="7"/>
      <c r="E199" s="7"/>
      <c r="F199" s="7"/>
      <c r="G199" s="7"/>
      <c r="H199" s="7"/>
      <c r="I199" s="7"/>
      <c r="J199" s="10"/>
      <c r="K199" s="7"/>
      <c r="L199" s="7"/>
      <c r="M199" s="7"/>
      <c r="N199" s="7"/>
      <c r="O199" s="7"/>
      <c r="P199" s="7"/>
      <c r="Q199" s="16"/>
      <c r="R199" s="16"/>
    </row>
    <row r="200" spans="1:18" ht="18" customHeight="1" x14ac:dyDescent="0.3">
      <c r="A200" s="11">
        <f>A190+1</f>
        <v>13</v>
      </c>
      <c r="B200" s="12" t="s">
        <v>115</v>
      </c>
      <c r="C200" s="12"/>
      <c r="D200" s="13"/>
      <c r="E200" s="12"/>
      <c r="F200" s="12" t="s">
        <v>116</v>
      </c>
      <c r="G200" s="43"/>
      <c r="H200" s="75"/>
      <c r="I200" s="75"/>
      <c r="J200" s="11" t="s">
        <v>107</v>
      </c>
      <c r="K200" s="11">
        <v>1</v>
      </c>
      <c r="L200" s="12" t="s">
        <v>108</v>
      </c>
      <c r="M200" s="43"/>
      <c r="N200" s="43"/>
      <c r="O200" s="43"/>
      <c r="P200" s="43"/>
      <c r="Q200" s="43"/>
      <c r="R200" s="43"/>
    </row>
    <row r="201" spans="1:18" ht="18" customHeight="1" x14ac:dyDescent="0.3">
      <c r="A201" s="43"/>
      <c r="B201" s="12" t="s">
        <v>117</v>
      </c>
      <c r="C201" s="43"/>
      <c r="D201" s="43"/>
      <c r="E201" s="43"/>
      <c r="F201" s="12" t="s">
        <v>118</v>
      </c>
      <c r="G201" s="43"/>
      <c r="H201" s="75"/>
      <c r="I201" s="75"/>
      <c r="J201" s="75"/>
      <c r="K201" s="43"/>
      <c r="L201" s="43"/>
      <c r="M201" s="43"/>
      <c r="N201" s="43"/>
      <c r="O201" s="43"/>
      <c r="P201" s="43"/>
      <c r="Q201" s="43"/>
      <c r="R201" s="43"/>
    </row>
    <row r="202" spans="1:18" ht="18" customHeight="1" x14ac:dyDescent="0.3">
      <c r="A202" s="43"/>
      <c r="B202" s="12"/>
      <c r="C202" s="43"/>
      <c r="D202" s="43"/>
      <c r="E202" s="43"/>
      <c r="F202" s="12"/>
      <c r="G202" s="43"/>
      <c r="H202" s="75"/>
      <c r="I202" s="75"/>
      <c r="J202" s="75"/>
      <c r="K202" s="43"/>
      <c r="L202" s="43"/>
      <c r="M202" s="43"/>
      <c r="N202" s="43"/>
      <c r="O202" s="43"/>
      <c r="P202" s="43"/>
      <c r="Q202" s="43"/>
      <c r="R202" s="43"/>
    </row>
    <row r="203" spans="1:18" ht="18" customHeight="1" x14ac:dyDescent="0.3">
      <c r="A203" s="43"/>
      <c r="B203" s="12" t="s">
        <v>119</v>
      </c>
      <c r="C203" s="43"/>
      <c r="D203" s="43"/>
      <c r="E203" s="43"/>
      <c r="F203" s="12"/>
      <c r="G203" s="43"/>
      <c r="H203" s="75"/>
      <c r="I203" s="75"/>
      <c r="J203" s="75"/>
      <c r="K203" s="43"/>
      <c r="L203" s="43"/>
      <c r="M203" s="43"/>
      <c r="N203" s="43"/>
      <c r="O203" s="43"/>
      <c r="P203" s="43"/>
      <c r="Q203" s="43"/>
      <c r="R203" s="43"/>
    </row>
    <row r="204" spans="1:18" ht="18" customHeight="1" x14ac:dyDescent="0.3">
      <c r="A204" s="43"/>
      <c r="B204" s="12" t="s">
        <v>120</v>
      </c>
      <c r="C204" s="43"/>
      <c r="D204" s="43"/>
      <c r="E204" s="43"/>
      <c r="F204" s="12"/>
      <c r="G204" s="43"/>
      <c r="H204" s="75"/>
      <c r="I204" s="75"/>
      <c r="J204" s="75"/>
      <c r="K204" s="43"/>
      <c r="L204" s="43"/>
      <c r="M204" s="43"/>
      <c r="N204" s="43"/>
      <c r="O204" s="43"/>
      <c r="P204" s="43"/>
      <c r="Q204" s="43"/>
      <c r="R204" s="43"/>
    </row>
    <row r="205" spans="1:18" ht="18" customHeight="1" x14ac:dyDescent="0.3">
      <c r="A205" s="7"/>
      <c r="B205" s="15"/>
      <c r="C205" s="7"/>
      <c r="D205" s="7"/>
      <c r="E205" s="7"/>
      <c r="F205" s="7"/>
      <c r="G205" s="7"/>
      <c r="H205" s="7"/>
      <c r="I205" s="7"/>
      <c r="J205" s="10"/>
      <c r="K205" s="7"/>
      <c r="L205" s="7"/>
      <c r="M205" s="7"/>
      <c r="N205" s="7"/>
      <c r="O205" s="7"/>
      <c r="P205" s="7"/>
      <c r="Q205" s="16"/>
      <c r="R205" s="16"/>
    </row>
    <row r="206" spans="1:18" ht="18" customHeight="1" x14ac:dyDescent="0.3">
      <c r="A206" s="11">
        <f>A200+1</f>
        <v>14</v>
      </c>
      <c r="B206" s="12" t="s">
        <v>121</v>
      </c>
      <c r="C206" s="12"/>
      <c r="D206" s="13"/>
      <c r="E206" s="12"/>
      <c r="F206" s="12" t="s">
        <v>122</v>
      </c>
      <c r="G206" s="43"/>
      <c r="H206" s="75"/>
      <c r="I206" s="75"/>
      <c r="J206" s="11">
        <v>2.5</v>
      </c>
      <c r="K206" s="11">
        <v>3</v>
      </c>
      <c r="L206" s="12"/>
      <c r="M206" s="43"/>
      <c r="N206" s="43"/>
      <c r="O206" s="43"/>
      <c r="P206" s="43"/>
      <c r="Q206" s="43"/>
      <c r="R206" s="43"/>
    </row>
    <row r="207" spans="1:18" ht="18" customHeight="1" x14ac:dyDescent="0.3">
      <c r="A207" s="11"/>
      <c r="B207" s="12"/>
      <c r="C207" s="12"/>
      <c r="D207" s="13"/>
      <c r="E207" s="12"/>
      <c r="F207" s="12"/>
      <c r="G207" s="43"/>
      <c r="H207" s="75"/>
      <c r="I207" s="75"/>
      <c r="J207" s="11"/>
      <c r="K207" s="11"/>
      <c r="L207" s="12"/>
      <c r="M207" s="43"/>
      <c r="N207" s="43"/>
      <c r="O207" s="43"/>
      <c r="P207" s="43"/>
      <c r="Q207" s="43"/>
      <c r="R207" s="43"/>
    </row>
    <row r="208" spans="1:18" ht="18" customHeight="1" x14ac:dyDescent="0.3">
      <c r="A208" s="11"/>
      <c r="B208" s="12"/>
      <c r="C208" s="12"/>
      <c r="D208" s="13"/>
      <c r="E208" s="12"/>
      <c r="F208" s="12"/>
      <c r="G208" s="43"/>
      <c r="H208" s="75"/>
      <c r="I208" s="75"/>
      <c r="J208" s="11"/>
      <c r="K208" s="11"/>
      <c r="L208" s="12"/>
      <c r="M208" s="43"/>
      <c r="N208" s="43"/>
      <c r="O208" s="43"/>
      <c r="P208" s="43"/>
      <c r="Q208" s="43"/>
      <c r="R208" s="43"/>
    </row>
    <row r="209" spans="1:18" ht="18" customHeight="1" x14ac:dyDescent="0.3">
      <c r="A209" s="43"/>
      <c r="B209" s="12"/>
      <c r="C209" s="43"/>
      <c r="D209" s="43"/>
      <c r="E209" s="43"/>
      <c r="F209" s="12"/>
      <c r="G209" s="43"/>
      <c r="H209" s="75"/>
      <c r="I209" s="75"/>
      <c r="J209" s="11"/>
      <c r="K209" s="11"/>
      <c r="L209" s="12"/>
      <c r="M209" s="43"/>
      <c r="N209" s="43"/>
      <c r="O209" s="43"/>
      <c r="P209" s="43"/>
      <c r="Q209" s="43"/>
      <c r="R209" s="43"/>
    </row>
    <row r="210" spans="1:18" ht="18" customHeight="1" x14ac:dyDescent="0.3">
      <c r="A210" s="7"/>
      <c r="B210" s="15"/>
      <c r="C210" s="7"/>
      <c r="D210" s="7"/>
      <c r="E210" s="7"/>
      <c r="F210" s="7"/>
      <c r="G210" s="7"/>
      <c r="H210" s="7"/>
      <c r="I210" s="7"/>
      <c r="J210" s="10"/>
      <c r="K210" s="7"/>
      <c r="L210" s="7"/>
      <c r="M210" s="7"/>
      <c r="N210" s="7"/>
      <c r="O210" s="7"/>
      <c r="P210" s="7"/>
      <c r="Q210" s="16"/>
      <c r="R210" s="16"/>
    </row>
    <row r="211" spans="1:18" ht="18" customHeight="1" x14ac:dyDescent="0.3">
      <c r="A211" s="95"/>
      <c r="B211" s="96"/>
      <c r="C211" s="95"/>
      <c r="D211" s="95"/>
      <c r="E211" s="95"/>
      <c r="F211" s="95"/>
      <c r="G211" s="95"/>
      <c r="H211" s="95"/>
      <c r="I211" s="95"/>
      <c r="J211" s="97"/>
      <c r="K211" s="95"/>
      <c r="L211" s="95"/>
      <c r="M211" s="95"/>
      <c r="N211" s="95"/>
      <c r="O211" s="95"/>
      <c r="P211" s="95"/>
      <c r="Q211" s="98"/>
      <c r="R211" s="98"/>
    </row>
    <row r="212" spans="1:18" ht="18" customHeight="1" x14ac:dyDescent="0.3">
      <c r="A212" s="3" t="s">
        <v>13</v>
      </c>
      <c r="B212" s="2" t="s">
        <v>123</v>
      </c>
    </row>
    <row r="213" spans="1:18" ht="18" customHeight="1" x14ac:dyDescent="0.3">
      <c r="B213" s="99"/>
      <c r="E213" s="65" t="str">
        <f>'[1]BS &amp; P&amp;L &amp; Stats'!B46</f>
        <v>9 Yrs</v>
      </c>
      <c r="F213" s="65" t="str">
        <f>'[1]BS &amp; P&amp;L &amp; Stats'!C46</f>
        <v>5 Yrs</v>
      </c>
      <c r="G213" s="65" t="str">
        <f>'[1]BS &amp; P&amp;L &amp; Stats'!D46</f>
        <v>3 Yrs</v>
      </c>
      <c r="H213" s="65" t="str">
        <f>'[1]BS &amp; P&amp;L &amp; Stats'!E46</f>
        <v>TTM</v>
      </c>
      <c r="I213" s="65"/>
      <c r="J213" s="100"/>
      <c r="K213" s="99"/>
      <c r="L213" s="99"/>
      <c r="M213" s="99"/>
      <c r="N213" s="99"/>
      <c r="O213" s="99"/>
      <c r="P213" s="99"/>
    </row>
    <row r="214" spans="1:18" ht="18" customHeight="1" x14ac:dyDescent="0.3">
      <c r="B214" s="2" t="s">
        <v>14</v>
      </c>
      <c r="E214" s="21">
        <f>'[1]BS &amp; P&amp;L &amp; Stats'!B47</f>
        <v>0.14321979964407872</v>
      </c>
      <c r="F214" s="21">
        <f>'[1]BS &amp; P&amp;L &amp; Stats'!C47</f>
        <v>0.18361842389693006</v>
      </c>
      <c r="G214" s="21">
        <f>'[1]BS &amp; P&amp;L &amp; Stats'!D47</f>
        <v>3.7743643656640735E-2</v>
      </c>
      <c r="H214" s="21">
        <f>'[1]BS &amp; P&amp;L &amp; Stats'!E47</f>
        <v>0.12222235369287929</v>
      </c>
      <c r="I214" s="65"/>
      <c r="J214" s="100"/>
      <c r="K214" s="99"/>
      <c r="L214" s="99"/>
      <c r="M214" s="99"/>
      <c r="N214" s="99"/>
      <c r="O214" s="99"/>
      <c r="P214" s="99"/>
    </row>
    <row r="215" spans="1:18" ht="18" customHeight="1" x14ac:dyDescent="0.3">
      <c r="B215" s="2" t="str">
        <f>'[1]BS &amp; P&amp;L &amp; Stats'!A49</f>
        <v>Net Prof Grwth (CAGR)</v>
      </c>
      <c r="E215" s="21">
        <f>'[1]BS &amp; P&amp;L &amp; Stats'!B49</f>
        <v>0.22766023800301749</v>
      </c>
      <c r="F215" s="21">
        <f>'[1]BS &amp; P&amp;L &amp; Stats'!C49</f>
        <v>0.23048689763171959</v>
      </c>
      <c r="G215" s="21">
        <f>'[1]BS &amp; P&amp;L &amp; Stats'!D49</f>
        <v>0.75279934394387515</v>
      </c>
      <c r="H215" s="21">
        <f>'[1]BS &amp; P&amp;L &amp; Stats'!E49</f>
        <v>4.1172826760272558</v>
      </c>
      <c r="I215" s="65"/>
      <c r="J215" s="100"/>
      <c r="K215" s="99"/>
      <c r="L215" s="99"/>
      <c r="M215" s="99"/>
      <c r="N215" s="99"/>
      <c r="O215" s="99"/>
      <c r="P215" s="99"/>
    </row>
    <row r="216" spans="1:18" ht="18" customHeight="1" x14ac:dyDescent="0.3">
      <c r="B216" s="2" t="s">
        <v>124</v>
      </c>
      <c r="E216" s="88" t="str">
        <f>IF(E215&gt;E214,"Yes","No")</f>
        <v>Yes</v>
      </c>
      <c r="F216" s="88" t="str">
        <f t="shared" ref="F216:H216" si="13">IF(F215&gt;F214,"Yes","No")</f>
        <v>Yes</v>
      </c>
      <c r="G216" s="88" t="str">
        <f t="shared" si="13"/>
        <v>Yes</v>
      </c>
      <c r="H216" s="88" t="str">
        <f t="shared" si="13"/>
        <v>Yes</v>
      </c>
      <c r="I216" s="65"/>
      <c r="J216" s="100"/>
      <c r="K216" s="99"/>
      <c r="L216" s="99"/>
      <c r="M216" s="99"/>
      <c r="N216" s="99"/>
      <c r="O216" s="99"/>
      <c r="P216" s="99"/>
    </row>
    <row r="217" spans="1:18" ht="18" customHeight="1" x14ac:dyDescent="0.3">
      <c r="B217" s="2" t="s">
        <v>125</v>
      </c>
      <c r="E217" s="21">
        <f>'[1]BS &amp; P&amp;L &amp; Stats'!B48</f>
        <v>0.10185054527635562</v>
      </c>
      <c r="F217" s="21">
        <f>'[1]BS &amp; P&amp;L &amp; Stats'!C48</f>
        <v>7.8655389161183642E-2</v>
      </c>
      <c r="G217" s="21">
        <f>'[1]BS &amp; P&amp;L &amp; Stats'!D48</f>
        <v>0.16844498829211818</v>
      </c>
      <c r="H217" s="21">
        <f>'[1]BS &amp; P&amp;L &amp; Stats'!E48</f>
        <v>0.26826786077752901</v>
      </c>
      <c r="I217" s="65"/>
      <c r="J217" s="100"/>
      <c r="K217" s="99"/>
      <c r="L217" s="99"/>
      <c r="M217" s="99"/>
      <c r="N217" s="99"/>
      <c r="O217" s="99"/>
      <c r="P217" s="99"/>
    </row>
    <row r="218" spans="1:18" ht="18" customHeight="1" x14ac:dyDescent="0.3">
      <c r="B218" s="2" t="s">
        <v>126</v>
      </c>
      <c r="E218" s="88" t="str">
        <f>IF(E217&gt;E214,"Yes","No")</f>
        <v>No</v>
      </c>
      <c r="F218" s="88" t="str">
        <f t="shared" ref="F218:H218" si="14">IF(F217&gt;F214,"Yes","No")</f>
        <v>No</v>
      </c>
      <c r="G218" s="88" t="str">
        <f t="shared" si="14"/>
        <v>Yes</v>
      </c>
      <c r="H218" s="88" t="str">
        <f t="shared" si="14"/>
        <v>Yes</v>
      </c>
      <c r="I218" s="65"/>
      <c r="J218" s="100"/>
      <c r="K218" s="99"/>
      <c r="L218" s="99"/>
      <c r="M218" s="99"/>
      <c r="N218" s="99"/>
      <c r="O218" s="99"/>
      <c r="P218" s="99"/>
    </row>
    <row r="220" spans="1:18" ht="18" customHeight="1" x14ac:dyDescent="0.3">
      <c r="A220" s="7"/>
      <c r="B220" s="15"/>
      <c r="C220" s="7"/>
      <c r="D220" s="7"/>
      <c r="E220" s="7"/>
      <c r="F220" s="7"/>
      <c r="G220" s="7"/>
      <c r="H220" s="7"/>
      <c r="I220" s="7"/>
      <c r="J220" s="10"/>
      <c r="K220" s="7"/>
      <c r="L220" s="7"/>
      <c r="M220" s="7"/>
      <c r="N220" s="7"/>
      <c r="O220" s="7"/>
      <c r="P220" s="7"/>
      <c r="Q220" s="16"/>
      <c r="R220" s="16"/>
    </row>
    <row r="221" spans="1:18" ht="18" customHeight="1" x14ac:dyDescent="0.3">
      <c r="A221" s="11">
        <f>A206+1</f>
        <v>15</v>
      </c>
      <c r="B221" s="12" t="s">
        <v>127</v>
      </c>
      <c r="C221" s="12"/>
      <c r="D221" s="13"/>
      <c r="E221" s="12"/>
      <c r="F221" s="12" t="s">
        <v>128</v>
      </c>
      <c r="G221" s="43"/>
      <c r="H221" s="75"/>
      <c r="I221" s="75"/>
      <c r="J221" s="11">
        <v>3</v>
      </c>
      <c r="K221" s="11">
        <v>3</v>
      </c>
      <c r="L221" s="12"/>
      <c r="M221" s="12"/>
      <c r="N221" s="12"/>
      <c r="O221" s="12"/>
      <c r="P221" s="12"/>
      <c r="Q221" s="12"/>
      <c r="R221" s="12"/>
    </row>
    <row r="222" spans="1:18" ht="18" customHeight="1" x14ac:dyDescent="0.3">
      <c r="A222" s="43"/>
      <c r="B222" s="12" t="s">
        <v>129</v>
      </c>
      <c r="C222" s="43"/>
      <c r="D222" s="43"/>
      <c r="E222" s="43"/>
      <c r="F222" s="12" t="s">
        <v>130</v>
      </c>
      <c r="G222" s="12"/>
      <c r="H222" s="12"/>
      <c r="I222" s="12"/>
      <c r="J222" s="11"/>
      <c r="K222" s="11"/>
      <c r="L222" s="12"/>
      <c r="M222" s="12"/>
      <c r="N222" s="12"/>
      <c r="O222" s="12"/>
      <c r="P222" s="12"/>
      <c r="Q222" s="12"/>
      <c r="R222" s="12"/>
    </row>
    <row r="223" spans="1:18" ht="18" customHeight="1" x14ac:dyDescent="0.3">
      <c r="A223" s="43"/>
      <c r="B223" s="43"/>
      <c r="C223" s="43"/>
      <c r="D223" s="43"/>
      <c r="E223" s="43"/>
      <c r="F223" s="12"/>
      <c r="G223" s="12"/>
      <c r="H223" s="12"/>
      <c r="I223" s="12"/>
      <c r="J223" s="11"/>
      <c r="K223" s="11"/>
      <c r="L223" s="12"/>
      <c r="M223" s="12"/>
      <c r="N223" s="12"/>
      <c r="O223" s="12"/>
      <c r="P223" s="12"/>
      <c r="Q223" s="12"/>
      <c r="R223" s="12"/>
    </row>
    <row r="224" spans="1:18" ht="18" customHeight="1" x14ac:dyDescent="0.3">
      <c r="A224" s="43"/>
      <c r="B224" s="43"/>
      <c r="C224" s="43"/>
      <c r="D224" s="43"/>
      <c r="E224" s="43"/>
      <c r="F224" s="12"/>
      <c r="G224" s="12"/>
      <c r="H224" s="12"/>
      <c r="I224" s="12"/>
      <c r="J224" s="11"/>
      <c r="K224" s="11"/>
      <c r="L224" s="12"/>
      <c r="M224" s="12"/>
      <c r="N224" s="12"/>
      <c r="O224" s="12"/>
      <c r="P224" s="12"/>
      <c r="Q224" s="12"/>
      <c r="R224" s="12"/>
    </row>
    <row r="225" spans="1:18" ht="18" customHeight="1" x14ac:dyDescent="0.3">
      <c r="A225" s="43"/>
      <c r="B225" s="43"/>
      <c r="C225" s="43"/>
      <c r="D225" s="43"/>
      <c r="E225" s="43"/>
      <c r="F225" s="12"/>
      <c r="G225" s="12"/>
      <c r="H225" s="12"/>
      <c r="I225" s="12"/>
      <c r="J225" s="11"/>
      <c r="K225" s="11"/>
      <c r="L225" s="12"/>
      <c r="M225" s="12"/>
      <c r="N225" s="12"/>
      <c r="O225" s="12"/>
      <c r="P225" s="12"/>
      <c r="Q225" s="12"/>
      <c r="R225" s="12"/>
    </row>
    <row r="226" spans="1:18" ht="18" customHeight="1" x14ac:dyDescent="0.3">
      <c r="A226" s="43"/>
      <c r="B226" s="43"/>
      <c r="C226" s="43"/>
      <c r="D226" s="43"/>
      <c r="E226" s="43"/>
      <c r="F226" s="12"/>
      <c r="G226" s="12"/>
      <c r="H226" s="12"/>
      <c r="I226" s="12"/>
      <c r="J226" s="11"/>
      <c r="K226" s="11"/>
      <c r="L226" s="12"/>
      <c r="M226" s="12"/>
      <c r="N226" s="12"/>
      <c r="O226" s="12"/>
      <c r="P226" s="12"/>
      <c r="Q226" s="12"/>
      <c r="R226" s="12"/>
    </row>
    <row r="227" spans="1:18" ht="18" customHeight="1" x14ac:dyDescent="0.3">
      <c r="A227" s="7"/>
      <c r="B227" s="15"/>
      <c r="C227" s="7"/>
      <c r="D227" s="7"/>
      <c r="E227" s="7"/>
      <c r="F227" s="7"/>
      <c r="G227" s="7"/>
      <c r="H227" s="7"/>
      <c r="I227" s="7"/>
      <c r="J227" s="10"/>
      <c r="K227" s="7"/>
      <c r="L227" s="7"/>
      <c r="M227" s="7"/>
      <c r="N227" s="7"/>
      <c r="O227" s="7"/>
      <c r="P227" s="7"/>
      <c r="Q227" s="16"/>
      <c r="R227" s="16"/>
    </row>
    <row r="229" spans="1:18" ht="18" customHeight="1" x14ac:dyDescent="0.3">
      <c r="G229" s="65" t="s">
        <v>131</v>
      </c>
      <c r="H229" s="65" t="s">
        <v>95</v>
      </c>
      <c r="I229" s="65" t="s">
        <v>51</v>
      </c>
    </row>
    <row r="230" spans="1:18" ht="18" customHeight="1" x14ac:dyDescent="0.3">
      <c r="B230" s="2" t="s">
        <v>128</v>
      </c>
      <c r="G230" s="101">
        <f>N236-E236</f>
        <v>229015.671</v>
      </c>
      <c r="H230" s="101">
        <f>N236-I236</f>
        <v>161273.641</v>
      </c>
      <c r="I230" s="101">
        <f>N236-K236</f>
        <v>108179.84299999999</v>
      </c>
    </row>
    <row r="231" spans="1:18" ht="18" customHeight="1" x14ac:dyDescent="0.3">
      <c r="B231" s="2" t="s">
        <v>132</v>
      </c>
      <c r="G231" s="101">
        <f>SUM(E237:N237)</f>
        <v>71823.5</v>
      </c>
      <c r="H231" s="101">
        <f>SUM(J237:N237)</f>
        <v>47949.25</v>
      </c>
      <c r="I231" s="101">
        <f>SUM(L237:N237)</f>
        <v>29386</v>
      </c>
      <c r="P231" s="69"/>
    </row>
    <row r="232" spans="1:18" ht="18" customHeight="1" x14ac:dyDescent="0.3">
      <c r="B232" s="2" t="s">
        <v>133</v>
      </c>
      <c r="G232" s="102">
        <f>IF(AND(G230&gt;0,G231&gt;0),G230/G231,"N.A.")</f>
        <v>3.1885896816501562</v>
      </c>
      <c r="H232" s="102">
        <f t="shared" ref="H232:I232" si="15">IF(AND(H230&gt;0,H231&gt;0),H230/H231,"N.A.")</f>
        <v>3.3634236406200304</v>
      </c>
      <c r="I232" s="102">
        <f t="shared" si="15"/>
        <v>3.681339515415504</v>
      </c>
      <c r="P232" s="69"/>
    </row>
    <row r="233" spans="1:18" ht="18" customHeight="1" x14ac:dyDescent="0.3">
      <c r="B233" s="2" t="s">
        <v>134</v>
      </c>
      <c r="G233" s="88" t="str">
        <f>IF(G230&gt;G231,"Yes","No")</f>
        <v>Yes</v>
      </c>
      <c r="H233" s="88" t="str">
        <f>IF(H230&gt;H231,"Yes","No")</f>
        <v>Yes</v>
      </c>
      <c r="I233" s="88" t="str">
        <f>IF(I230&gt;I231,"Yes","No")</f>
        <v>Yes</v>
      </c>
      <c r="P233" s="69"/>
    </row>
    <row r="235" spans="1:18" ht="18" customHeight="1" x14ac:dyDescent="0.3">
      <c r="B235" s="66" t="s">
        <v>135</v>
      </c>
      <c r="C235" s="67"/>
      <c r="D235" s="67"/>
      <c r="E235" s="27">
        <f>'[1]Data Sheet'!$B$16</f>
        <v>42825</v>
      </c>
      <c r="F235" s="27">
        <f>'[1]Data Sheet'!$C$16</f>
        <v>43190</v>
      </c>
      <c r="G235" s="27">
        <f>'[1]Data Sheet'!$D$16</f>
        <v>43555</v>
      </c>
      <c r="H235" s="27">
        <f>'[1]Data Sheet'!$E$16</f>
        <v>43921</v>
      </c>
      <c r="I235" s="27">
        <f>'[1]Data Sheet'!$F$16</f>
        <v>44286</v>
      </c>
      <c r="J235" s="29">
        <f>'[1]Data Sheet'!$G$16</f>
        <v>44651</v>
      </c>
      <c r="K235" s="27">
        <f>'[1]Data Sheet'!$H$16</f>
        <v>45016</v>
      </c>
      <c r="L235" s="27">
        <f>'[1]Data Sheet'!$I$16</f>
        <v>45382</v>
      </c>
      <c r="M235" s="27">
        <f>'[1]Data Sheet'!$J$16</f>
        <v>45747</v>
      </c>
      <c r="N235" s="27">
        <f>'[1]Data Sheet'!$K$16</f>
        <v>46112</v>
      </c>
    </row>
    <row r="236" spans="1:18" ht="18" customHeight="1" x14ac:dyDescent="0.3">
      <c r="B236" s="68" t="s">
        <v>136</v>
      </c>
      <c r="E236" s="69">
        <f>'[1]BS &amp; P&amp;L &amp; Stats'!B4</f>
        <v>45491.703999999998</v>
      </c>
      <c r="F236" s="69">
        <f>'[1]BS &amp; P&amp;L &amp; Stats'!C4</f>
        <v>69651.617999999988</v>
      </c>
      <c r="G236" s="69">
        <f>'[1]BS &amp; P&amp;L &amp; Stats'!D4</f>
        <v>70836.046000000002</v>
      </c>
      <c r="H236" s="69">
        <f>'[1]BS &amp; P&amp;L &amp; Stats'!E4</f>
        <v>35351.550000000003</v>
      </c>
      <c r="I236" s="69">
        <f>'[1]BS &amp; P&amp;L &amp; Stats'!F4</f>
        <v>113233.734</v>
      </c>
      <c r="J236" s="70">
        <f>'[1]BS &amp; P&amp;L &amp; Stats'!G4</f>
        <v>177096.158</v>
      </c>
      <c r="K236" s="69">
        <f>'[1]BS &amp; P&amp;L &amp; Stats'!H4</f>
        <v>166327.53200000001</v>
      </c>
      <c r="L236" s="69">
        <f>'[1]BS &amp; P&amp;L &amp; Stats'!I4</f>
        <v>203025.41000000003</v>
      </c>
      <c r="M236" s="69">
        <f>'[1]BS &amp; P&amp;L &amp; Stats'!J4</f>
        <v>260005.56000000003</v>
      </c>
      <c r="N236" s="69">
        <f>'[1]BS &amp; P&amp;L &amp; Stats'!K4</f>
        <v>274507.375</v>
      </c>
    </row>
    <row r="237" spans="1:18" ht="18" customHeight="1" x14ac:dyDescent="0.3">
      <c r="B237" s="68" t="s">
        <v>137</v>
      </c>
      <c r="E237" s="69">
        <f>'[1]BS &amp; P&amp;L &amp; Stats'!B27</f>
        <v>2845.75</v>
      </c>
      <c r="F237" s="69">
        <f>'[1]BS &amp; P&amp;L &amp; Stats'!C27</f>
        <v>5247.6</v>
      </c>
      <c r="G237" s="69">
        <f>'[1]BS &amp; P&amp;L &amp; Stats'!D27</f>
        <v>6404.9</v>
      </c>
      <c r="H237" s="69">
        <f>'[1]BS &amp; P&amp;L &amp; Stats'!E27</f>
        <v>3428</v>
      </c>
      <c r="I237" s="69">
        <f>'[1]BS &amp; P&amp;L &amp; Stats'!F27</f>
        <v>5948</v>
      </c>
      <c r="J237" s="70">
        <f>'[1]BS &amp; P&amp;L &amp; Stats'!G27</f>
        <v>15442.65</v>
      </c>
      <c r="K237" s="69">
        <f>'[1]BS &amp; P&amp;L &amp; Stats'!H27</f>
        <v>3120.6</v>
      </c>
      <c r="L237" s="69">
        <f>'[1]BS &amp; P&amp;L &amp; Stats'!I27</f>
        <v>6585.5</v>
      </c>
      <c r="M237" s="69">
        <f>'[1]BS &amp; P&amp;L &amp; Stats'!J27</f>
        <v>2650</v>
      </c>
      <c r="N237" s="69">
        <f>'[1]BS &amp; P&amp;L &amp; Stats'!K27</f>
        <v>20150.5</v>
      </c>
    </row>
    <row r="239" spans="1:18" ht="18" customHeight="1" x14ac:dyDescent="0.3">
      <c r="A239" s="7"/>
      <c r="B239" s="15"/>
      <c r="C239" s="7"/>
      <c r="D239" s="7"/>
      <c r="E239" s="7"/>
      <c r="F239" s="7"/>
      <c r="G239" s="7"/>
      <c r="H239" s="7"/>
      <c r="I239" s="7"/>
      <c r="J239" s="10"/>
      <c r="K239" s="7"/>
      <c r="L239" s="7"/>
      <c r="M239" s="7"/>
      <c r="N239" s="7"/>
      <c r="O239" s="7"/>
      <c r="P239" s="7"/>
      <c r="Q239" s="16"/>
      <c r="R239" s="16"/>
    </row>
    <row r="240" spans="1:18" ht="18" customHeight="1" x14ac:dyDescent="0.3">
      <c r="A240" s="11">
        <f>A221+1</f>
        <v>16</v>
      </c>
      <c r="B240" s="12" t="s">
        <v>138</v>
      </c>
      <c r="C240" s="12"/>
      <c r="D240" s="13"/>
      <c r="E240" s="12"/>
      <c r="F240" s="12" t="s">
        <v>139</v>
      </c>
      <c r="G240" s="43"/>
      <c r="H240" s="75"/>
      <c r="I240" s="75"/>
      <c r="J240" s="11" t="s">
        <v>107</v>
      </c>
      <c r="K240" s="11">
        <v>2</v>
      </c>
      <c r="L240" s="12" t="s">
        <v>108</v>
      </c>
      <c r="M240" s="12"/>
      <c r="N240" s="12"/>
      <c r="O240" s="12"/>
      <c r="P240" s="12"/>
      <c r="Q240" s="12"/>
      <c r="R240" s="12"/>
    </row>
    <row r="241" spans="1:18" ht="18" customHeight="1" x14ac:dyDescent="0.3">
      <c r="A241" s="43"/>
      <c r="B241" s="12" t="s">
        <v>140</v>
      </c>
      <c r="C241" s="43"/>
      <c r="D241" s="43"/>
      <c r="E241" s="43"/>
      <c r="F241" s="12" t="s">
        <v>141</v>
      </c>
      <c r="G241" s="12"/>
      <c r="H241" s="12"/>
      <c r="I241" s="12"/>
      <c r="J241" s="11"/>
      <c r="K241" s="11"/>
      <c r="L241" s="12"/>
      <c r="M241" s="12"/>
      <c r="N241" s="12"/>
      <c r="O241" s="12"/>
      <c r="P241" s="12"/>
      <c r="Q241" s="12"/>
      <c r="R241" s="12"/>
    </row>
    <row r="242" spans="1:18" ht="18" customHeight="1" x14ac:dyDescent="0.3">
      <c r="A242" s="43"/>
      <c r="B242" s="43"/>
      <c r="C242" s="43"/>
      <c r="D242" s="43"/>
      <c r="E242" s="43"/>
      <c r="F242" s="12"/>
      <c r="G242" s="43"/>
      <c r="H242" s="75"/>
      <c r="I242" s="75"/>
      <c r="J242" s="11"/>
      <c r="K242" s="11"/>
      <c r="L242" s="12"/>
      <c r="M242" s="43"/>
      <c r="N242" s="43"/>
      <c r="O242" s="43"/>
      <c r="P242" s="43"/>
      <c r="Q242" s="43"/>
      <c r="R242" s="43"/>
    </row>
    <row r="243" spans="1:18" ht="18" customHeight="1" x14ac:dyDescent="0.3">
      <c r="A243" s="43"/>
      <c r="B243" s="43"/>
      <c r="C243" s="43"/>
      <c r="D243" s="43"/>
      <c r="E243" s="43"/>
      <c r="F243" s="12"/>
      <c r="G243" s="43"/>
      <c r="H243" s="75"/>
      <c r="I243" s="75"/>
      <c r="J243" s="11"/>
      <c r="K243" s="11"/>
      <c r="L243" s="12"/>
      <c r="M243" s="43"/>
      <c r="N243" s="43"/>
      <c r="O243" s="43"/>
      <c r="P243" s="43"/>
      <c r="Q243" s="43"/>
      <c r="R243" s="43"/>
    </row>
    <row r="244" spans="1:18" ht="18" customHeight="1" x14ac:dyDescent="0.3">
      <c r="A244" s="43"/>
      <c r="B244" s="43"/>
      <c r="C244" s="43"/>
      <c r="D244" s="43"/>
      <c r="E244" s="43"/>
      <c r="F244" s="12"/>
      <c r="G244" s="43"/>
      <c r="H244" s="75"/>
      <c r="I244" s="75"/>
      <c r="J244" s="11"/>
      <c r="K244" s="11"/>
      <c r="L244" s="12"/>
      <c r="M244" s="43"/>
      <c r="N244" s="43"/>
      <c r="O244" s="43"/>
      <c r="P244" s="43"/>
      <c r="Q244" s="43"/>
      <c r="R244" s="43"/>
    </row>
    <row r="245" spans="1:18" ht="18" customHeight="1" x14ac:dyDescent="0.3">
      <c r="A245" s="43"/>
      <c r="B245" s="43"/>
      <c r="C245" s="43"/>
      <c r="D245" s="43"/>
      <c r="E245" s="43"/>
      <c r="F245" s="12"/>
      <c r="G245" s="43"/>
      <c r="H245" s="75"/>
      <c r="I245" s="75"/>
      <c r="J245" s="11"/>
      <c r="K245" s="11"/>
      <c r="L245" s="12"/>
      <c r="M245" s="43"/>
      <c r="N245" s="43"/>
      <c r="O245" s="43"/>
      <c r="P245" s="43"/>
      <c r="Q245" s="43"/>
      <c r="R245" s="43"/>
    </row>
    <row r="246" spans="1:18" ht="18" customHeight="1" x14ac:dyDescent="0.3">
      <c r="A246" s="7"/>
      <c r="B246" s="15"/>
      <c r="C246" s="7"/>
      <c r="D246" s="7"/>
      <c r="E246" s="7"/>
      <c r="F246" s="7"/>
      <c r="G246" s="7"/>
      <c r="H246" s="7"/>
      <c r="I246" s="7"/>
      <c r="J246" s="10"/>
      <c r="K246" s="7"/>
      <c r="L246" s="7"/>
      <c r="M246" s="7"/>
      <c r="N246" s="7"/>
      <c r="O246" s="7"/>
      <c r="P246" s="7"/>
      <c r="Q246" s="16"/>
      <c r="R246" s="16"/>
    </row>
    <row r="247" spans="1:18" ht="18" customHeight="1" x14ac:dyDescent="0.3">
      <c r="A247" s="11">
        <f>A240+1</f>
        <v>17</v>
      </c>
      <c r="B247" s="12" t="s">
        <v>142</v>
      </c>
      <c r="C247" s="12"/>
      <c r="D247" s="13"/>
      <c r="E247" s="12"/>
      <c r="F247" s="12" t="s">
        <v>143</v>
      </c>
      <c r="G247" s="43"/>
      <c r="H247" s="75"/>
      <c r="I247" s="75"/>
      <c r="J247" s="11" t="s">
        <v>107</v>
      </c>
      <c r="K247" s="11">
        <v>1</v>
      </c>
      <c r="L247" s="12" t="s">
        <v>108</v>
      </c>
      <c r="M247" s="43"/>
      <c r="N247" s="43"/>
      <c r="O247" s="43"/>
      <c r="P247" s="43"/>
      <c r="Q247" s="43"/>
      <c r="R247" s="43"/>
    </row>
    <row r="248" spans="1:18" ht="18" customHeight="1" x14ac:dyDescent="0.3">
      <c r="A248" s="43"/>
      <c r="B248" s="12"/>
      <c r="C248" s="43"/>
      <c r="D248" s="43"/>
      <c r="E248" s="43"/>
      <c r="F248" s="12" t="s">
        <v>144</v>
      </c>
      <c r="G248" s="12"/>
      <c r="H248" s="12"/>
      <c r="I248" s="12"/>
      <c r="J248" s="11"/>
      <c r="K248" s="11"/>
      <c r="L248" s="12"/>
      <c r="M248" s="43"/>
      <c r="N248" s="43"/>
      <c r="O248" s="43"/>
      <c r="P248" s="43"/>
      <c r="Q248" s="43"/>
      <c r="R248" s="43"/>
    </row>
    <row r="249" spans="1:18" ht="18" customHeight="1" x14ac:dyDescent="0.3">
      <c r="A249" s="43"/>
      <c r="B249" s="12"/>
      <c r="C249" s="43"/>
      <c r="D249" s="43"/>
      <c r="E249" s="43"/>
      <c r="F249" s="12"/>
      <c r="G249" s="12"/>
      <c r="H249" s="12"/>
      <c r="I249" s="12"/>
      <c r="J249" s="11"/>
      <c r="K249" s="11"/>
      <c r="L249" s="12"/>
      <c r="M249" s="43"/>
      <c r="N249" s="43"/>
      <c r="O249" s="43"/>
      <c r="P249" s="43"/>
      <c r="Q249" s="43"/>
      <c r="R249" s="43"/>
    </row>
    <row r="250" spans="1:18" ht="18" customHeight="1" x14ac:dyDescent="0.3">
      <c r="A250" s="43"/>
      <c r="B250" s="12"/>
      <c r="C250" s="43"/>
      <c r="D250" s="43"/>
      <c r="E250" s="43"/>
      <c r="F250" s="12"/>
      <c r="G250" s="12"/>
      <c r="H250" s="12"/>
      <c r="I250" s="12"/>
      <c r="J250" s="11"/>
      <c r="K250" s="11"/>
      <c r="L250" s="12"/>
      <c r="M250" s="43"/>
      <c r="N250" s="43"/>
      <c r="O250" s="43"/>
      <c r="P250" s="43"/>
      <c r="Q250" s="43"/>
      <c r="R250" s="43"/>
    </row>
    <row r="251" spans="1:18" ht="18" customHeight="1" x14ac:dyDescent="0.3">
      <c r="A251" s="43"/>
      <c r="B251" s="12"/>
      <c r="C251" s="43"/>
      <c r="D251" s="43"/>
      <c r="E251" s="43"/>
      <c r="F251" s="12"/>
      <c r="G251" s="12"/>
      <c r="H251" s="12"/>
      <c r="I251" s="12"/>
      <c r="J251" s="11"/>
      <c r="K251" s="11"/>
      <c r="L251" s="12"/>
      <c r="M251" s="43"/>
      <c r="N251" s="43"/>
      <c r="O251" s="43"/>
      <c r="P251" s="43"/>
      <c r="Q251" s="43"/>
      <c r="R251" s="43"/>
    </row>
    <row r="252" spans="1:18" ht="18" customHeight="1" x14ac:dyDescent="0.3">
      <c r="A252" s="7"/>
      <c r="B252" s="15"/>
      <c r="C252" s="7"/>
      <c r="D252" s="7"/>
      <c r="E252" s="7"/>
      <c r="F252" s="7"/>
      <c r="G252" s="7"/>
      <c r="H252" s="7"/>
      <c r="I252" s="7"/>
      <c r="J252" s="10"/>
      <c r="K252" s="7"/>
      <c r="L252" s="7"/>
      <c r="M252" s="7"/>
      <c r="N252" s="7"/>
      <c r="O252" s="7"/>
      <c r="P252" s="7"/>
      <c r="Q252" s="16"/>
      <c r="R252" s="16"/>
    </row>
    <row r="253" spans="1:18" ht="18" customHeight="1" x14ac:dyDescent="0.3">
      <c r="A253" s="11">
        <f>A247+1</f>
        <v>18</v>
      </c>
      <c r="B253" s="12" t="s">
        <v>145</v>
      </c>
      <c r="C253" s="12"/>
      <c r="D253" s="13"/>
      <c r="E253" s="12"/>
      <c r="F253" s="12" t="s">
        <v>146</v>
      </c>
      <c r="G253" s="43"/>
      <c r="H253" s="75"/>
      <c r="I253" s="75"/>
      <c r="J253" s="11" t="s">
        <v>107</v>
      </c>
      <c r="K253" s="11">
        <v>2</v>
      </c>
      <c r="L253" s="12" t="s">
        <v>108</v>
      </c>
      <c r="M253" s="43"/>
      <c r="N253" s="43"/>
      <c r="O253" s="43"/>
      <c r="P253" s="43"/>
      <c r="Q253" s="43"/>
      <c r="R253" s="43"/>
    </row>
    <row r="254" spans="1:18" ht="18" customHeight="1" x14ac:dyDescent="0.3">
      <c r="A254" s="43"/>
      <c r="B254" s="12"/>
      <c r="C254" s="43"/>
      <c r="D254" s="43"/>
      <c r="E254" s="43"/>
      <c r="F254" s="12" t="s">
        <v>147</v>
      </c>
      <c r="G254" s="12"/>
      <c r="H254" s="12"/>
      <c r="I254" s="12"/>
      <c r="J254" s="11" t="s">
        <v>107</v>
      </c>
      <c r="K254" s="11">
        <v>1</v>
      </c>
      <c r="L254" s="12" t="s">
        <v>108</v>
      </c>
      <c r="M254" s="43"/>
      <c r="N254" s="43"/>
      <c r="O254" s="43"/>
      <c r="P254" s="43"/>
      <c r="Q254" s="43"/>
      <c r="R254" s="43"/>
    </row>
    <row r="255" spans="1:18" ht="18" customHeight="1" x14ac:dyDescent="0.3">
      <c r="A255" s="43"/>
      <c r="B255" s="43"/>
      <c r="C255" s="43"/>
      <c r="D255" s="43"/>
      <c r="E255" s="43"/>
      <c r="F255" s="12" t="s">
        <v>148</v>
      </c>
      <c r="G255" s="43"/>
      <c r="H255" s="75"/>
      <c r="I255" s="75"/>
      <c r="J255" s="11"/>
      <c r="K255" s="11"/>
      <c r="L255" s="12"/>
      <c r="M255" s="43"/>
      <c r="N255" s="43"/>
      <c r="O255" s="43"/>
      <c r="P255" s="43"/>
      <c r="Q255" s="43"/>
      <c r="R255" s="43"/>
    </row>
    <row r="256" spans="1:18" ht="18" customHeight="1" x14ac:dyDescent="0.3">
      <c r="A256" s="43"/>
      <c r="B256" s="43"/>
      <c r="C256" s="43"/>
      <c r="D256" s="43"/>
      <c r="E256" s="43"/>
      <c r="F256" s="12"/>
      <c r="G256" s="43"/>
      <c r="H256" s="75"/>
      <c r="I256" s="75"/>
      <c r="J256" s="11"/>
      <c r="K256" s="11"/>
      <c r="L256" s="12"/>
      <c r="M256" s="43"/>
      <c r="N256" s="43"/>
      <c r="O256" s="43"/>
      <c r="P256" s="43"/>
      <c r="Q256" s="43"/>
      <c r="R256" s="43"/>
    </row>
    <row r="257" spans="1:18" ht="18" customHeight="1" x14ac:dyDescent="0.3">
      <c r="A257" s="43"/>
      <c r="B257" s="43"/>
      <c r="C257" s="43"/>
      <c r="D257" s="43"/>
      <c r="E257" s="43"/>
      <c r="F257" s="12"/>
      <c r="G257" s="43"/>
      <c r="H257" s="75"/>
      <c r="I257" s="75"/>
      <c r="J257" s="11"/>
      <c r="K257" s="11"/>
      <c r="L257" s="12"/>
      <c r="M257" s="43"/>
      <c r="N257" s="43"/>
      <c r="O257" s="43"/>
      <c r="P257" s="43"/>
      <c r="Q257" s="43"/>
      <c r="R257" s="43"/>
    </row>
    <row r="258" spans="1:18" ht="18" customHeight="1" x14ac:dyDescent="0.3">
      <c r="A258" s="43"/>
      <c r="B258" s="43"/>
      <c r="C258" s="43"/>
      <c r="D258" s="43"/>
      <c r="E258" s="43"/>
      <c r="F258" s="12"/>
      <c r="G258" s="43"/>
      <c r="H258" s="75"/>
      <c r="I258" s="75"/>
      <c r="J258" s="11"/>
      <c r="K258" s="11"/>
      <c r="L258" s="12"/>
      <c r="M258" s="43"/>
      <c r="N258" s="43"/>
      <c r="O258" s="43"/>
      <c r="P258" s="43"/>
      <c r="Q258" s="43"/>
      <c r="R258" s="43"/>
    </row>
    <row r="259" spans="1:18" ht="18" customHeight="1" x14ac:dyDescent="0.3">
      <c r="A259" s="43"/>
      <c r="B259" s="43"/>
      <c r="C259" s="43"/>
      <c r="D259" s="43"/>
      <c r="E259" s="43"/>
      <c r="F259" s="12"/>
      <c r="G259" s="43"/>
      <c r="H259" s="75"/>
      <c r="I259" s="75"/>
      <c r="J259" s="11"/>
      <c r="K259" s="11"/>
      <c r="L259" s="12"/>
      <c r="M259" s="43"/>
      <c r="N259" s="43"/>
      <c r="O259" s="43"/>
      <c r="P259" s="43"/>
      <c r="Q259" s="43"/>
      <c r="R259" s="43"/>
    </row>
    <row r="260" spans="1:18" ht="18" customHeight="1" x14ac:dyDescent="0.3">
      <c r="A260" s="7"/>
      <c r="B260" s="15"/>
      <c r="C260" s="7"/>
      <c r="D260" s="7"/>
      <c r="E260" s="7"/>
      <c r="F260" s="7"/>
      <c r="G260" s="7"/>
      <c r="H260" s="7"/>
      <c r="I260" s="7"/>
      <c r="J260" s="10"/>
      <c r="K260" s="7"/>
      <c r="L260" s="7"/>
      <c r="M260" s="7"/>
      <c r="N260" s="7"/>
      <c r="O260" s="7"/>
      <c r="P260" s="7"/>
      <c r="Q260" s="16"/>
      <c r="R260" s="16"/>
    </row>
    <row r="261" spans="1:18" ht="18" customHeight="1" x14ac:dyDescent="0.3">
      <c r="A261" s="11">
        <f>A253+1</f>
        <v>19</v>
      </c>
      <c r="B261" s="12" t="s">
        <v>149</v>
      </c>
      <c r="C261" s="12"/>
      <c r="D261" s="13"/>
      <c r="E261" s="12"/>
      <c r="F261" s="12" t="s">
        <v>150</v>
      </c>
      <c r="G261" s="43"/>
      <c r="H261" s="75"/>
      <c r="I261" s="75"/>
      <c r="J261" s="11" t="s">
        <v>107</v>
      </c>
      <c r="K261" s="11">
        <v>2</v>
      </c>
      <c r="L261" s="12" t="s">
        <v>108</v>
      </c>
      <c r="M261" s="43"/>
      <c r="N261" s="43"/>
      <c r="O261" s="43"/>
      <c r="P261" s="43"/>
      <c r="Q261" s="43"/>
      <c r="R261" s="43"/>
    </row>
    <row r="262" spans="1:18" ht="18" customHeight="1" x14ac:dyDescent="0.3">
      <c r="A262" s="43"/>
      <c r="B262" s="12"/>
      <c r="C262" s="43"/>
      <c r="D262" s="43"/>
      <c r="E262" s="43"/>
      <c r="F262" s="12"/>
      <c r="G262" s="12"/>
      <c r="H262" s="12"/>
      <c r="I262" s="12"/>
      <c r="J262" s="11"/>
      <c r="K262" s="11"/>
      <c r="L262" s="12"/>
      <c r="M262" s="43"/>
      <c r="N262" s="43"/>
      <c r="O262" s="43"/>
      <c r="P262" s="43"/>
      <c r="Q262" s="43"/>
      <c r="R262" s="43"/>
    </row>
    <row r="263" spans="1:18" ht="18" customHeight="1" x14ac:dyDescent="0.3">
      <c r="A263" s="43"/>
      <c r="B263" s="12"/>
      <c r="C263" s="43"/>
      <c r="D263" s="43"/>
      <c r="E263" s="43"/>
      <c r="F263" s="12"/>
      <c r="G263" s="12"/>
      <c r="H263" s="12"/>
      <c r="I263" s="12"/>
      <c r="J263" s="11"/>
      <c r="K263" s="11"/>
      <c r="L263" s="12"/>
      <c r="M263" s="43"/>
      <c r="N263" s="43"/>
      <c r="O263" s="43"/>
      <c r="P263" s="43"/>
      <c r="Q263" s="43"/>
      <c r="R263" s="43"/>
    </row>
    <row r="264" spans="1:18" ht="18" customHeight="1" x14ac:dyDescent="0.3">
      <c r="A264" s="43"/>
      <c r="B264" s="12"/>
      <c r="C264" s="43"/>
      <c r="D264" s="43"/>
      <c r="E264" s="43"/>
      <c r="F264" s="12"/>
      <c r="G264" s="12"/>
      <c r="H264" s="12"/>
      <c r="I264" s="12"/>
      <c r="J264" s="11"/>
      <c r="K264" s="11"/>
      <c r="L264" s="12"/>
      <c r="M264" s="43"/>
      <c r="N264" s="43"/>
      <c r="O264" s="43"/>
      <c r="P264" s="43"/>
      <c r="Q264" s="43"/>
      <c r="R264" s="43"/>
    </row>
    <row r="265" spans="1:18" ht="18" customHeight="1" x14ac:dyDescent="0.3">
      <c r="A265" s="43"/>
      <c r="B265" s="12"/>
      <c r="C265" s="43"/>
      <c r="D265" s="43"/>
      <c r="E265" s="43"/>
      <c r="F265" s="12"/>
      <c r="G265" s="12"/>
      <c r="H265" s="12"/>
      <c r="I265" s="12"/>
      <c r="J265" s="11"/>
      <c r="K265" s="11"/>
      <c r="L265" s="12"/>
      <c r="M265" s="43"/>
      <c r="N265" s="43"/>
      <c r="O265" s="43"/>
      <c r="P265" s="43"/>
      <c r="Q265" s="43"/>
      <c r="R265" s="43"/>
    </row>
    <row r="266" spans="1:18" ht="18" customHeight="1" x14ac:dyDescent="0.3">
      <c r="A266" s="7"/>
      <c r="B266" s="15"/>
      <c r="C266" s="7"/>
      <c r="D266" s="7"/>
      <c r="E266" s="7"/>
      <c r="F266" s="7"/>
      <c r="G266" s="7"/>
      <c r="H266" s="7"/>
      <c r="I266" s="7"/>
      <c r="J266" s="10"/>
      <c r="K266" s="7"/>
      <c r="L266" s="7"/>
      <c r="M266" s="7"/>
      <c r="N266" s="7"/>
      <c r="O266" s="7"/>
      <c r="P266" s="7"/>
      <c r="Q266" s="16"/>
      <c r="R266" s="16"/>
    </row>
    <row r="267" spans="1:18" ht="18" customHeight="1" x14ac:dyDescent="0.3">
      <c r="A267" s="11">
        <f>A261+1</f>
        <v>20</v>
      </c>
      <c r="B267" s="12" t="s">
        <v>151</v>
      </c>
      <c r="C267" s="12"/>
      <c r="D267" s="13"/>
      <c r="E267" s="12"/>
      <c r="F267" s="12" t="s">
        <v>152</v>
      </c>
      <c r="G267" s="43"/>
      <c r="H267" s="75"/>
      <c r="I267" s="75"/>
      <c r="J267" s="11">
        <v>1</v>
      </c>
      <c r="K267" s="11">
        <v>1</v>
      </c>
      <c r="L267" s="12"/>
      <c r="M267" s="43"/>
      <c r="N267" s="43"/>
      <c r="O267" s="43"/>
      <c r="P267" s="43"/>
      <c r="Q267" s="43"/>
      <c r="R267" s="43"/>
    </row>
    <row r="268" spans="1:18" ht="18" customHeight="1" x14ac:dyDescent="0.3">
      <c r="A268" s="43"/>
      <c r="B268" s="12"/>
      <c r="C268" s="43"/>
      <c r="D268" s="43"/>
      <c r="E268" s="43"/>
      <c r="F268" s="12" t="s">
        <v>153</v>
      </c>
      <c r="G268" s="43"/>
      <c r="H268" s="75"/>
      <c r="I268" s="75"/>
      <c r="J268" s="11"/>
      <c r="K268" s="11"/>
      <c r="L268" s="12"/>
      <c r="M268" s="43"/>
      <c r="N268" s="43"/>
      <c r="O268" s="43"/>
      <c r="P268" s="43"/>
      <c r="Q268" s="43"/>
      <c r="R268" s="43"/>
    </row>
    <row r="269" spans="1:18" ht="18" customHeight="1" x14ac:dyDescent="0.3">
      <c r="A269" s="43"/>
      <c r="B269" s="43"/>
      <c r="C269" s="43"/>
      <c r="D269" s="43"/>
      <c r="E269" s="43"/>
      <c r="F269" s="12"/>
      <c r="G269" s="43"/>
      <c r="H269" s="75"/>
      <c r="I269" s="75"/>
      <c r="J269" s="11"/>
      <c r="K269" s="11"/>
      <c r="L269" s="12"/>
      <c r="M269" s="43"/>
      <c r="N269" s="43"/>
      <c r="O269" s="43"/>
      <c r="P269" s="43"/>
      <c r="Q269" s="43"/>
      <c r="R269" s="43"/>
    </row>
    <row r="270" spans="1:18" ht="18" customHeight="1" x14ac:dyDescent="0.3">
      <c r="A270" s="43"/>
      <c r="B270" s="43"/>
      <c r="C270" s="43"/>
      <c r="D270" s="43"/>
      <c r="E270" s="43"/>
      <c r="F270" s="12"/>
      <c r="G270" s="43"/>
      <c r="H270" s="75"/>
      <c r="I270" s="75"/>
      <c r="J270" s="11"/>
      <c r="K270" s="11"/>
      <c r="L270" s="12"/>
      <c r="M270" s="43"/>
      <c r="N270" s="43"/>
      <c r="O270" s="43"/>
      <c r="P270" s="43"/>
      <c r="Q270" s="43"/>
      <c r="R270" s="43"/>
    </row>
    <row r="271" spans="1:18" ht="18" customHeight="1" x14ac:dyDescent="0.3">
      <c r="A271" s="43"/>
      <c r="B271" s="43"/>
      <c r="C271" s="43"/>
      <c r="D271" s="43"/>
      <c r="E271" s="43"/>
      <c r="F271" s="12"/>
      <c r="G271" s="43"/>
      <c r="H271" s="75"/>
      <c r="I271" s="75"/>
      <c r="J271" s="11"/>
      <c r="K271" s="11"/>
      <c r="L271" s="12"/>
      <c r="M271" s="43"/>
      <c r="N271" s="43"/>
      <c r="O271" s="43"/>
      <c r="P271" s="43"/>
      <c r="Q271" s="43"/>
      <c r="R271" s="43"/>
    </row>
    <row r="272" spans="1:18" ht="18" customHeight="1" x14ac:dyDescent="0.3">
      <c r="A272" s="7"/>
      <c r="B272" s="15"/>
      <c r="C272" s="7"/>
      <c r="D272" s="7"/>
      <c r="E272" s="7"/>
      <c r="F272" s="7"/>
      <c r="G272" s="7"/>
      <c r="H272" s="7"/>
      <c r="I272" s="7"/>
      <c r="J272" s="10"/>
      <c r="K272" s="7"/>
      <c r="L272" s="7"/>
      <c r="M272" s="7"/>
      <c r="N272" s="7"/>
      <c r="O272" s="7"/>
      <c r="P272" s="7"/>
      <c r="Q272" s="16"/>
      <c r="R272" s="16"/>
    </row>
    <row r="274" spans="1:18" ht="18" customHeight="1" x14ac:dyDescent="0.3">
      <c r="B274" s="66" t="s">
        <v>154</v>
      </c>
      <c r="C274" s="67"/>
      <c r="D274" s="67"/>
      <c r="E274" s="27">
        <f>'[1]Data Sheet'!$B$16</f>
        <v>42825</v>
      </c>
      <c r="F274" s="27">
        <f>'[1]Data Sheet'!$C$16</f>
        <v>43190</v>
      </c>
      <c r="G274" s="27">
        <f>'[1]Data Sheet'!$D$16</f>
        <v>43555</v>
      </c>
      <c r="H274" s="27">
        <f>'[1]Data Sheet'!$E$16</f>
        <v>43921</v>
      </c>
      <c r="I274" s="27">
        <f>'[1]Data Sheet'!$F$16</f>
        <v>44286</v>
      </c>
      <c r="J274" s="29">
        <f>'[1]Data Sheet'!$G$16</f>
        <v>44651</v>
      </c>
      <c r="K274" s="27">
        <f>'[1]Data Sheet'!$H$16</f>
        <v>45016</v>
      </c>
      <c r="L274" s="27">
        <f>'[1]Data Sheet'!$I$16</f>
        <v>45382</v>
      </c>
      <c r="M274" s="27">
        <f>'[1]Data Sheet'!$J$16</f>
        <v>45747</v>
      </c>
      <c r="N274" s="27">
        <f>'[1]Data Sheet'!$K$16</f>
        <v>46112</v>
      </c>
    </row>
    <row r="275" spans="1:18" ht="18" customHeight="1" x14ac:dyDescent="0.3">
      <c r="B275" s="68" t="str">
        <f>'[1]BS &amp; P&amp;L &amp; Stats'!A24</f>
        <v>Net profit</v>
      </c>
      <c r="E275" s="69">
        <f>'[1]BS &amp; P&amp;L &amp; Stats'!B24</f>
        <v>3523</v>
      </c>
      <c r="F275" s="69">
        <f>'[1]BS &amp; P&amp;L &amp; Stats'!C24</f>
        <v>6214</v>
      </c>
      <c r="G275" s="69">
        <f>'[1]BS &amp; P&amp;L &amp; Stats'!D24</f>
        <v>7639</v>
      </c>
      <c r="H275" s="69">
        <f>'[1]BS &amp; P&amp;L &amp; Stats'!E24</f>
        <v>4030</v>
      </c>
      <c r="I275" s="69">
        <f>'[1]BS &amp; P&amp;L &amp; Stats'!F24</f>
        <v>7911</v>
      </c>
      <c r="J275" s="70">
        <f>'[1]BS &amp; P&amp;L &amp; Stats'!G24</f>
        <v>20665</v>
      </c>
      <c r="K275" s="69">
        <f>'[1]BS &amp; P&amp;L &amp; Stats'!H24</f>
        <v>4144</v>
      </c>
      <c r="L275" s="69">
        <f>'[1]BS &amp; P&amp;L &amp; Stats'!I24</f>
        <v>8812</v>
      </c>
      <c r="M275" s="69">
        <f>'[1]BS &amp; P&amp;L &amp; Stats'!J24</f>
        <v>3504</v>
      </c>
      <c r="N275" s="69">
        <f>'[1]BS &amp; P&amp;L &amp; Stats'!K24</f>
        <v>22316</v>
      </c>
    </row>
    <row r="276" spans="1:18" ht="18" customHeight="1" x14ac:dyDescent="0.3">
      <c r="B276" s="68" t="str">
        <f>'[1]BS &amp; P&amp;L &amp; Stats'!A26</f>
        <v>Dividend Amount</v>
      </c>
      <c r="E276" s="69">
        <f>'[1]BS &amp; P&amp;L &amp; Stats'!B26</f>
        <v>677.25</v>
      </c>
      <c r="F276" s="69">
        <f>'[1]BS &amp; P&amp;L &amp; Stats'!C26</f>
        <v>966.4</v>
      </c>
      <c r="G276" s="69">
        <f>'[1]BS &amp; P&amp;L &amp; Stats'!D26</f>
        <v>1234.0999999999999</v>
      </c>
      <c r="H276" s="69">
        <f>'[1]BS &amp; P&amp;L &amp; Stats'!E26</f>
        <v>602</v>
      </c>
      <c r="I276" s="69">
        <f>'[1]BS &amp; P&amp;L &amp; Stats'!F26</f>
        <v>1963</v>
      </c>
      <c r="J276" s="70">
        <f>'[1]BS &amp; P&amp;L &amp; Stats'!G26</f>
        <v>5222.3500000000004</v>
      </c>
      <c r="K276" s="69">
        <f>'[1]BS &amp; P&amp;L &amp; Stats'!H26</f>
        <v>1023.4</v>
      </c>
      <c r="L276" s="69">
        <f>'[1]BS &amp; P&amp;L &amp; Stats'!I26</f>
        <v>2226.5</v>
      </c>
      <c r="M276" s="69">
        <f>'[1]BS &amp; P&amp;L &amp; Stats'!J26</f>
        <v>854</v>
      </c>
      <c r="N276" s="69">
        <f>'[1]BS &amp; P&amp;L &amp; Stats'!K26</f>
        <v>2165.5</v>
      </c>
    </row>
    <row r="277" spans="1:18" ht="18" customHeight="1" x14ac:dyDescent="0.3">
      <c r="B277" s="68" t="s">
        <v>155</v>
      </c>
      <c r="F277" s="88" t="str">
        <f t="shared" ref="F277:K277" si="16">IF(AND(F276&gt;=E276,F275&gt;E275),"Yes",IF(AND(F276&gt;=E276,F275&lt;E275),"No","--"))</f>
        <v>Yes</v>
      </c>
      <c r="G277" s="88" t="str">
        <f t="shared" si="16"/>
        <v>Yes</v>
      </c>
      <c r="H277" s="88" t="str">
        <f t="shared" si="16"/>
        <v>--</v>
      </c>
      <c r="I277" s="88" t="str">
        <f t="shared" si="16"/>
        <v>Yes</v>
      </c>
      <c r="J277" s="88" t="str">
        <f t="shared" si="16"/>
        <v>Yes</v>
      </c>
      <c r="K277" s="88" t="str">
        <f t="shared" si="16"/>
        <v>--</v>
      </c>
      <c r="L277" s="88" t="str">
        <f>IF(AND(L276&gt;=K276,L275&gt;K275),"Yes",IF(AND(L276&gt;=K276,L275&lt;K275),"No","--"))</f>
        <v>Yes</v>
      </c>
      <c r="M277" s="88" t="str">
        <f t="shared" ref="M277:N277" si="17">IF(AND(M276&gt;=L276,M275&gt;L275),"Yes",IF(AND(M276&gt;=L276,M275&lt;L275),"No","--"))</f>
        <v>--</v>
      </c>
      <c r="N277" s="88" t="str">
        <f t="shared" si="17"/>
        <v>Yes</v>
      </c>
    </row>
    <row r="278" spans="1:18" ht="18" customHeight="1" x14ac:dyDescent="0.3">
      <c r="B278" s="68" t="s">
        <v>156</v>
      </c>
      <c r="E278" s="93">
        <f t="shared" ref="E278:L278" si="18">E276/E275</f>
        <v>0.19223673005960829</v>
      </c>
      <c r="F278" s="93">
        <f t="shared" si="18"/>
        <v>0.15551979401351787</v>
      </c>
      <c r="G278" s="93">
        <f t="shared" si="18"/>
        <v>0.16155255923550202</v>
      </c>
      <c r="H278" s="93">
        <f t="shared" si="18"/>
        <v>0.14937965260545905</v>
      </c>
      <c r="I278" s="93">
        <f t="shared" si="18"/>
        <v>0.24813550752117305</v>
      </c>
      <c r="J278" s="103">
        <f t="shared" si="18"/>
        <v>0.25271473505927899</v>
      </c>
      <c r="K278" s="93">
        <f t="shared" si="18"/>
        <v>0.24695945945945946</v>
      </c>
      <c r="L278" s="93">
        <f t="shared" si="18"/>
        <v>0.25266681797548796</v>
      </c>
      <c r="M278" s="93">
        <f>M276/M275</f>
        <v>0.24372146118721461</v>
      </c>
      <c r="N278" s="93">
        <f t="shared" ref="N278" si="19">N276/N275</f>
        <v>9.7037999641512815E-2</v>
      </c>
    </row>
    <row r="280" spans="1:18" ht="18" customHeight="1" x14ac:dyDescent="0.3">
      <c r="A280" s="7"/>
      <c r="B280" s="15"/>
      <c r="C280" s="7"/>
      <c r="D280" s="7"/>
      <c r="E280" s="7"/>
      <c r="F280" s="7"/>
      <c r="G280" s="7"/>
      <c r="H280" s="7"/>
      <c r="I280" s="7"/>
      <c r="J280" s="10"/>
      <c r="K280" s="7"/>
      <c r="L280" s="7"/>
      <c r="M280" s="7"/>
      <c r="N280" s="7"/>
      <c r="O280" s="7"/>
      <c r="P280" s="7"/>
      <c r="Q280" s="16"/>
      <c r="R280" s="16"/>
    </row>
    <row r="281" spans="1:18" ht="18" customHeight="1" x14ac:dyDescent="0.3">
      <c r="A281" s="11">
        <f>A267+1</f>
        <v>21</v>
      </c>
      <c r="B281" s="12" t="s">
        <v>157</v>
      </c>
      <c r="C281" s="12"/>
      <c r="D281" s="13"/>
      <c r="E281" s="12"/>
      <c r="F281" s="12" t="s">
        <v>158</v>
      </c>
      <c r="G281" s="43"/>
      <c r="H281" s="75"/>
      <c r="I281" s="75"/>
      <c r="J281" s="11">
        <v>1</v>
      </c>
      <c r="K281" s="11">
        <v>2</v>
      </c>
      <c r="L281" s="12"/>
      <c r="M281" s="43"/>
      <c r="N281" s="43"/>
      <c r="O281" s="43"/>
      <c r="P281" s="43"/>
      <c r="Q281" s="43"/>
      <c r="R281" s="43"/>
    </row>
    <row r="282" spans="1:18" ht="18" customHeight="1" x14ac:dyDescent="0.3">
      <c r="A282" s="11"/>
      <c r="B282" s="12"/>
      <c r="C282" s="12"/>
      <c r="D282" s="13"/>
      <c r="E282" s="12"/>
      <c r="F282" s="12" t="s">
        <v>159</v>
      </c>
      <c r="G282" s="43"/>
      <c r="H282" s="75"/>
      <c r="I282" s="75"/>
      <c r="J282" s="11"/>
      <c r="K282" s="11"/>
      <c r="L282" s="12"/>
      <c r="M282" s="43"/>
      <c r="N282" s="43"/>
      <c r="O282" s="43"/>
      <c r="P282" s="43"/>
      <c r="Q282" s="43"/>
      <c r="R282" s="43"/>
    </row>
    <row r="283" spans="1:18" ht="18" customHeight="1" x14ac:dyDescent="0.3">
      <c r="A283" s="11"/>
      <c r="B283" s="12"/>
      <c r="C283" s="12"/>
      <c r="D283" s="13"/>
      <c r="E283" s="12"/>
      <c r="F283" s="12"/>
      <c r="G283" s="43"/>
      <c r="H283" s="75"/>
      <c r="I283" s="75"/>
      <c r="J283" s="11"/>
      <c r="K283" s="11"/>
      <c r="L283" s="12"/>
      <c r="M283" s="43"/>
      <c r="N283" s="43"/>
      <c r="O283" s="43"/>
      <c r="P283" s="43"/>
      <c r="Q283" s="43"/>
      <c r="R283" s="43"/>
    </row>
    <row r="284" spans="1:18" ht="18" customHeight="1" x14ac:dyDescent="0.3">
      <c r="A284" s="11"/>
      <c r="B284" s="12"/>
      <c r="C284" s="12"/>
      <c r="D284" s="13"/>
      <c r="E284" s="12"/>
      <c r="F284" s="12"/>
      <c r="G284" s="43"/>
      <c r="H284" s="75"/>
      <c r="I284" s="75"/>
      <c r="J284" s="11"/>
      <c r="K284" s="11"/>
      <c r="L284" s="12"/>
      <c r="M284" s="43"/>
      <c r="N284" s="43"/>
      <c r="O284" s="43"/>
      <c r="P284" s="43"/>
      <c r="Q284" s="43"/>
      <c r="R284" s="43"/>
    </row>
    <row r="285" spans="1:18" ht="18" customHeight="1" x14ac:dyDescent="0.3">
      <c r="A285" s="7"/>
      <c r="B285" s="15"/>
      <c r="C285" s="7"/>
      <c r="D285" s="7"/>
      <c r="E285" s="7"/>
      <c r="F285" s="7"/>
      <c r="G285" s="7"/>
      <c r="H285" s="7"/>
      <c r="I285" s="7"/>
      <c r="J285" s="10"/>
      <c r="K285" s="7"/>
      <c r="L285" s="7"/>
      <c r="M285" s="7"/>
      <c r="N285" s="7"/>
      <c r="O285" s="7"/>
      <c r="P285" s="7"/>
      <c r="Q285" s="16"/>
      <c r="R285" s="16"/>
    </row>
    <row r="286" spans="1:18" ht="18" customHeight="1" x14ac:dyDescent="0.3">
      <c r="A286" s="11">
        <f>A281+1</f>
        <v>22</v>
      </c>
      <c r="B286" s="12" t="s">
        <v>160</v>
      </c>
      <c r="C286" s="12"/>
      <c r="D286" s="13"/>
      <c r="E286" s="12"/>
      <c r="F286" s="12" t="s">
        <v>161</v>
      </c>
      <c r="G286" s="43"/>
      <c r="H286" s="75"/>
      <c r="I286" s="75"/>
      <c r="J286" s="11" t="s">
        <v>107</v>
      </c>
      <c r="K286" s="11">
        <v>3</v>
      </c>
      <c r="L286" s="12" t="s">
        <v>108</v>
      </c>
      <c r="M286" s="43"/>
      <c r="N286" s="43"/>
      <c r="O286" s="43"/>
      <c r="P286" s="43"/>
      <c r="Q286" s="43"/>
      <c r="R286" s="43"/>
    </row>
    <row r="287" spans="1:18" ht="18" customHeight="1" x14ac:dyDescent="0.3">
      <c r="A287" s="11"/>
      <c r="B287" s="12"/>
      <c r="C287" s="12"/>
      <c r="D287" s="13"/>
      <c r="E287" s="12"/>
      <c r="F287" s="12" t="s">
        <v>162</v>
      </c>
      <c r="G287" s="43"/>
      <c r="H287" s="75"/>
      <c r="I287" s="75"/>
      <c r="J287" s="11"/>
      <c r="K287" s="11"/>
      <c r="L287" s="12"/>
      <c r="M287" s="43"/>
      <c r="N287" s="43"/>
      <c r="O287" s="43"/>
      <c r="P287" s="43"/>
      <c r="Q287" s="43"/>
      <c r="R287" s="43"/>
    </row>
    <row r="288" spans="1:18" ht="18" customHeight="1" x14ac:dyDescent="0.3">
      <c r="A288" s="11"/>
      <c r="B288" s="12"/>
      <c r="C288" s="12"/>
      <c r="D288" s="13"/>
      <c r="E288" s="12"/>
      <c r="F288" s="12" t="s">
        <v>163</v>
      </c>
      <c r="G288" s="43"/>
      <c r="H288" s="75"/>
      <c r="I288" s="75"/>
      <c r="J288" s="11"/>
      <c r="K288" s="11"/>
      <c r="L288" s="12"/>
      <c r="M288" s="43"/>
      <c r="N288" s="43"/>
      <c r="O288" s="43"/>
      <c r="P288" s="43"/>
      <c r="Q288" s="43"/>
      <c r="R288" s="43"/>
    </row>
    <row r="289" spans="1:18" ht="18" customHeight="1" x14ac:dyDescent="0.3">
      <c r="A289" s="11"/>
      <c r="B289" s="12"/>
      <c r="C289" s="12"/>
      <c r="D289" s="13"/>
      <c r="E289" s="12"/>
      <c r="F289" s="12"/>
      <c r="G289" s="43"/>
      <c r="H289" s="75"/>
      <c r="I289" s="75"/>
      <c r="J289" s="11"/>
      <c r="K289" s="11"/>
      <c r="L289" s="12"/>
      <c r="M289" s="43"/>
      <c r="N289" s="43"/>
      <c r="O289" s="43"/>
      <c r="P289" s="43"/>
      <c r="Q289" s="43"/>
      <c r="R289" s="43"/>
    </row>
    <row r="290" spans="1:18" ht="18" customHeight="1" x14ac:dyDescent="0.3">
      <c r="A290" s="7"/>
      <c r="B290" s="15"/>
      <c r="C290" s="7"/>
      <c r="D290" s="7"/>
      <c r="E290" s="7"/>
      <c r="F290" s="7"/>
      <c r="G290" s="7"/>
      <c r="H290" s="7"/>
      <c r="I290" s="7"/>
      <c r="J290" s="10"/>
      <c r="K290" s="7"/>
      <c r="L290" s="7"/>
      <c r="M290" s="7"/>
      <c r="N290" s="7"/>
      <c r="O290" s="7"/>
      <c r="P290" s="7"/>
      <c r="Q290" s="16"/>
      <c r="R290" s="16"/>
    </row>
    <row r="291" spans="1:18" ht="18" customHeight="1" x14ac:dyDescent="0.3">
      <c r="A291" s="11">
        <f>A286+1</f>
        <v>23</v>
      </c>
      <c r="B291" s="12" t="s">
        <v>164</v>
      </c>
      <c r="C291" s="12"/>
      <c r="D291" s="13"/>
      <c r="E291" s="12"/>
      <c r="F291" s="12" t="s">
        <v>165</v>
      </c>
      <c r="G291" s="43"/>
      <c r="H291" s="75"/>
      <c r="I291" s="75"/>
      <c r="J291" s="11" t="s">
        <v>107</v>
      </c>
      <c r="K291" s="11">
        <v>1</v>
      </c>
      <c r="L291" s="12" t="s">
        <v>108</v>
      </c>
      <c r="M291" s="43"/>
      <c r="N291" s="43"/>
      <c r="O291" s="43"/>
      <c r="P291" s="43"/>
      <c r="Q291" s="43"/>
      <c r="R291" s="43"/>
    </row>
    <row r="292" spans="1:18" ht="18" customHeight="1" x14ac:dyDescent="0.3">
      <c r="A292" s="43"/>
      <c r="B292" s="43"/>
      <c r="C292" s="43"/>
      <c r="D292" s="43"/>
      <c r="E292" s="43"/>
      <c r="F292" s="12" t="s">
        <v>162</v>
      </c>
      <c r="G292" s="43"/>
      <c r="H292" s="75"/>
      <c r="I292" s="75"/>
      <c r="J292" s="11"/>
      <c r="K292" s="11"/>
      <c r="L292" s="12"/>
      <c r="M292" s="43"/>
      <c r="N292" s="43"/>
      <c r="O292" s="43"/>
      <c r="P292" s="43"/>
      <c r="Q292" s="43"/>
      <c r="R292" s="43"/>
    </row>
    <row r="293" spans="1:18" ht="18" customHeight="1" x14ac:dyDescent="0.3">
      <c r="A293" s="43"/>
      <c r="B293" s="43"/>
      <c r="C293" s="43"/>
      <c r="D293" s="43"/>
      <c r="E293" s="43"/>
      <c r="F293" s="12" t="s">
        <v>163</v>
      </c>
      <c r="G293" s="43"/>
      <c r="H293" s="75"/>
      <c r="I293" s="75"/>
      <c r="J293" s="11"/>
      <c r="K293" s="11"/>
      <c r="L293" s="12"/>
      <c r="M293" s="43"/>
      <c r="N293" s="43"/>
      <c r="O293" s="43"/>
      <c r="P293" s="43"/>
      <c r="Q293" s="43"/>
      <c r="R293" s="43"/>
    </row>
    <row r="294" spans="1:18" ht="18" customHeight="1" x14ac:dyDescent="0.3">
      <c r="A294" s="43"/>
      <c r="B294" s="43"/>
      <c r="C294" s="43"/>
      <c r="D294" s="43"/>
      <c r="E294" s="43"/>
      <c r="F294" s="12"/>
      <c r="G294" s="43"/>
      <c r="H294" s="75"/>
      <c r="I294" s="75"/>
      <c r="J294" s="11"/>
      <c r="K294" s="11"/>
      <c r="L294" s="12"/>
      <c r="M294" s="43"/>
      <c r="N294" s="43"/>
      <c r="O294" s="43"/>
      <c r="P294" s="43"/>
      <c r="Q294" s="43"/>
      <c r="R294" s="43"/>
    </row>
    <row r="295" spans="1:18" ht="18" customHeight="1" x14ac:dyDescent="0.3">
      <c r="A295" s="7"/>
      <c r="B295" s="15"/>
      <c r="C295" s="7"/>
      <c r="D295" s="7"/>
      <c r="E295" s="7"/>
      <c r="F295" s="7"/>
      <c r="G295" s="7"/>
      <c r="H295" s="7"/>
      <c r="I295" s="7"/>
      <c r="J295" s="10"/>
      <c r="K295" s="7"/>
      <c r="L295" s="7"/>
      <c r="M295" s="7"/>
      <c r="N295" s="7"/>
      <c r="O295" s="7"/>
      <c r="P295" s="7"/>
      <c r="Q295" s="16"/>
      <c r="R295" s="16"/>
    </row>
    <row r="296" spans="1:18" ht="18" customHeight="1" x14ac:dyDescent="0.3">
      <c r="A296" s="11">
        <f>A291+1</f>
        <v>24</v>
      </c>
      <c r="B296" s="12" t="s">
        <v>166</v>
      </c>
      <c r="C296" s="12"/>
      <c r="D296" s="13"/>
      <c r="E296" s="12"/>
      <c r="F296" s="12" t="s">
        <v>167</v>
      </c>
      <c r="G296" s="43"/>
      <c r="H296" s="75"/>
      <c r="I296" s="75"/>
      <c r="J296" s="11" t="s">
        <v>107</v>
      </c>
      <c r="K296" s="11">
        <v>2</v>
      </c>
      <c r="L296" s="12" t="s">
        <v>108</v>
      </c>
      <c r="M296" s="43"/>
      <c r="N296" s="43"/>
      <c r="O296" s="43"/>
      <c r="P296" s="43"/>
      <c r="Q296" s="43"/>
      <c r="R296" s="43"/>
    </row>
    <row r="297" spans="1:18" ht="18" customHeight="1" x14ac:dyDescent="0.3">
      <c r="A297" s="11"/>
      <c r="B297" s="12"/>
      <c r="C297" s="12"/>
      <c r="D297" s="13"/>
      <c r="E297" s="12"/>
      <c r="F297" s="12" t="s">
        <v>168</v>
      </c>
      <c r="G297" s="43"/>
      <c r="H297" s="75"/>
      <c r="I297" s="75"/>
      <c r="J297" s="11"/>
      <c r="K297" s="11"/>
      <c r="L297" s="12"/>
      <c r="M297" s="43"/>
      <c r="N297" s="43"/>
      <c r="O297" s="43"/>
      <c r="P297" s="43"/>
      <c r="Q297" s="43"/>
      <c r="R297" s="43"/>
    </row>
    <row r="298" spans="1:18" ht="18" customHeight="1" x14ac:dyDescent="0.3">
      <c r="A298" s="11"/>
      <c r="B298" s="12"/>
      <c r="C298" s="12"/>
      <c r="D298" s="13"/>
      <c r="E298" s="12"/>
      <c r="F298" s="12" t="s">
        <v>169</v>
      </c>
      <c r="G298" s="43"/>
      <c r="H298" s="75"/>
      <c r="I298" s="75"/>
      <c r="J298" s="11"/>
      <c r="K298" s="11"/>
      <c r="L298" s="12"/>
      <c r="M298" s="43"/>
      <c r="N298" s="43"/>
      <c r="O298" s="43"/>
      <c r="P298" s="43"/>
      <c r="Q298" s="43"/>
      <c r="R298" s="43"/>
    </row>
    <row r="299" spans="1:18" ht="18" customHeight="1" x14ac:dyDescent="0.3">
      <c r="A299" s="11"/>
      <c r="B299" s="12"/>
      <c r="C299" s="12"/>
      <c r="D299" s="13"/>
      <c r="E299" s="12"/>
      <c r="F299" s="12"/>
      <c r="G299" s="43"/>
      <c r="H299" s="75"/>
      <c r="I299" s="75"/>
      <c r="J299" s="11"/>
      <c r="K299" s="11"/>
      <c r="L299" s="12"/>
      <c r="M299" s="43"/>
      <c r="N299" s="43"/>
      <c r="O299" s="43"/>
      <c r="P299" s="43"/>
      <c r="Q299" s="43"/>
      <c r="R299" s="43"/>
    </row>
    <row r="300" spans="1:18" ht="18" customHeight="1" x14ac:dyDescent="0.3">
      <c r="A300" s="7"/>
      <c r="B300" s="15"/>
      <c r="C300" s="7"/>
      <c r="D300" s="7"/>
      <c r="E300" s="7"/>
      <c r="F300" s="7"/>
      <c r="G300" s="7"/>
      <c r="H300" s="7"/>
      <c r="I300" s="7"/>
      <c r="J300" s="10"/>
      <c r="K300" s="7"/>
      <c r="L300" s="7"/>
      <c r="M300" s="7"/>
      <c r="N300" s="7"/>
      <c r="O300" s="7"/>
      <c r="P300" s="7"/>
      <c r="Q300" s="16"/>
      <c r="R300" s="16"/>
    </row>
    <row r="301" spans="1:18" ht="18" customHeight="1" x14ac:dyDescent="0.3">
      <c r="A301" s="11">
        <f>A296+1</f>
        <v>25</v>
      </c>
      <c r="B301" s="12" t="s">
        <v>170</v>
      </c>
      <c r="C301" s="12"/>
      <c r="D301" s="13"/>
      <c r="E301" s="12"/>
      <c r="F301" s="12" t="s">
        <v>171</v>
      </c>
      <c r="G301" s="43"/>
      <c r="H301" s="75"/>
      <c r="I301" s="75"/>
      <c r="J301" s="11" t="s">
        <v>107</v>
      </c>
      <c r="K301" s="11">
        <v>3</v>
      </c>
      <c r="L301" s="12"/>
      <c r="M301" s="43"/>
      <c r="N301" s="43"/>
      <c r="O301" s="43"/>
      <c r="P301" s="43"/>
      <c r="Q301" s="43"/>
      <c r="R301" s="43"/>
    </row>
    <row r="302" spans="1:18" ht="18" customHeight="1" x14ac:dyDescent="0.3">
      <c r="A302" s="43"/>
      <c r="B302" s="43"/>
      <c r="C302" s="43"/>
      <c r="D302" s="43"/>
      <c r="E302" s="43"/>
      <c r="F302" s="12" t="s">
        <v>172</v>
      </c>
      <c r="G302" s="43"/>
      <c r="H302" s="75"/>
      <c r="I302" s="75"/>
      <c r="J302" s="11"/>
      <c r="K302" s="11"/>
      <c r="L302" s="12"/>
      <c r="M302" s="43"/>
      <c r="N302" s="43"/>
      <c r="O302" s="43"/>
      <c r="P302" s="43"/>
      <c r="Q302" s="43"/>
      <c r="R302" s="43"/>
    </row>
    <row r="303" spans="1:18" ht="18" customHeight="1" x14ac:dyDescent="0.3">
      <c r="A303" s="43"/>
      <c r="B303" s="43"/>
      <c r="C303" s="43"/>
      <c r="D303" s="43"/>
      <c r="E303" s="43"/>
      <c r="F303" s="12" t="s">
        <v>173</v>
      </c>
      <c r="G303" s="43"/>
      <c r="H303" s="75"/>
      <c r="I303" s="75"/>
      <c r="J303" s="11"/>
      <c r="K303" s="11"/>
      <c r="L303" s="12"/>
      <c r="M303" s="43"/>
      <c r="N303" s="43"/>
      <c r="O303" s="43"/>
      <c r="P303" s="43"/>
      <c r="Q303" s="43"/>
      <c r="R303" s="43"/>
    </row>
    <row r="304" spans="1:18" ht="18" customHeight="1" x14ac:dyDescent="0.3">
      <c r="A304" s="43"/>
      <c r="B304" s="43"/>
      <c r="C304" s="43"/>
      <c r="D304" s="43"/>
      <c r="E304" s="43"/>
      <c r="F304" s="12" t="s">
        <v>174</v>
      </c>
      <c r="G304" s="43"/>
      <c r="H304" s="75"/>
      <c r="I304" s="75"/>
      <c r="J304" s="11"/>
      <c r="K304" s="11"/>
      <c r="L304" s="12"/>
      <c r="M304" s="43"/>
      <c r="N304" s="43"/>
      <c r="O304" s="43"/>
      <c r="P304" s="43"/>
      <c r="Q304" s="43"/>
      <c r="R304" s="43"/>
    </row>
    <row r="305" spans="1:18" ht="18" customHeight="1" x14ac:dyDescent="0.3">
      <c r="A305" s="43"/>
      <c r="B305" s="43"/>
      <c r="C305" s="43"/>
      <c r="D305" s="43"/>
      <c r="E305" s="43"/>
      <c r="F305" s="12"/>
      <c r="G305" s="43"/>
      <c r="H305" s="75"/>
      <c r="I305" s="75"/>
      <c r="J305" s="11"/>
      <c r="K305" s="11"/>
      <c r="L305" s="12"/>
      <c r="M305" s="43"/>
      <c r="N305" s="43"/>
      <c r="O305" s="43"/>
      <c r="P305" s="43"/>
      <c r="Q305" s="43"/>
      <c r="R305" s="43"/>
    </row>
    <row r="306" spans="1:18" ht="18" customHeight="1" x14ac:dyDescent="0.3">
      <c r="A306" s="43"/>
      <c r="B306" s="43"/>
      <c r="C306" s="43"/>
      <c r="D306" s="43"/>
      <c r="E306" s="43"/>
      <c r="F306" s="12" t="s">
        <v>175</v>
      </c>
      <c r="G306" s="43"/>
      <c r="H306" s="75"/>
      <c r="I306" s="75"/>
      <c r="J306" s="11"/>
      <c r="K306" s="11"/>
      <c r="L306" s="12"/>
      <c r="M306" s="43"/>
      <c r="N306" s="43"/>
      <c r="O306" s="43"/>
      <c r="P306" s="43"/>
      <c r="Q306" s="43"/>
      <c r="R306" s="43"/>
    </row>
    <row r="307" spans="1:18" ht="18" customHeight="1" x14ac:dyDescent="0.3">
      <c r="A307" s="43"/>
      <c r="B307" s="43"/>
      <c r="C307" s="43"/>
      <c r="D307" s="43"/>
      <c r="E307" s="43"/>
      <c r="F307" s="12" t="s">
        <v>176</v>
      </c>
      <c r="G307" s="43"/>
      <c r="H307" s="75"/>
      <c r="I307" s="75"/>
      <c r="J307" s="11"/>
      <c r="K307" s="11"/>
      <c r="L307" s="12"/>
      <c r="M307" s="43"/>
      <c r="N307" s="43"/>
      <c r="O307" s="43"/>
      <c r="P307" s="43"/>
      <c r="Q307" s="43"/>
      <c r="R307" s="43"/>
    </row>
    <row r="308" spans="1:18" ht="18" customHeight="1" x14ac:dyDescent="0.3">
      <c r="A308" s="43"/>
      <c r="B308" s="43"/>
      <c r="C308" s="43"/>
      <c r="D308" s="43"/>
      <c r="E308" s="43"/>
      <c r="F308" s="12"/>
      <c r="G308" s="43"/>
      <c r="H308" s="75"/>
      <c r="I308" s="75"/>
      <c r="J308" s="11"/>
      <c r="K308" s="11"/>
      <c r="L308" s="12"/>
      <c r="M308" s="43"/>
      <c r="N308" s="43"/>
      <c r="O308" s="43"/>
      <c r="P308" s="43"/>
      <c r="Q308" s="43"/>
      <c r="R308" s="43"/>
    </row>
    <row r="309" spans="1:18" ht="18" customHeight="1" x14ac:dyDescent="0.3">
      <c r="A309" s="43"/>
      <c r="B309" s="43"/>
      <c r="C309" s="43"/>
      <c r="D309" s="43"/>
      <c r="E309" s="43"/>
      <c r="F309" s="12"/>
      <c r="G309" s="43"/>
      <c r="H309" s="75"/>
      <c r="I309" s="75"/>
      <c r="J309" s="11"/>
      <c r="K309" s="11"/>
      <c r="L309" s="12"/>
      <c r="M309" s="43"/>
      <c r="N309" s="43"/>
      <c r="O309" s="43"/>
      <c r="P309" s="43"/>
      <c r="Q309" s="43"/>
      <c r="R309" s="43"/>
    </row>
    <row r="310" spans="1:18" ht="18" customHeight="1" x14ac:dyDescent="0.3">
      <c r="A310" s="7"/>
      <c r="B310" s="15"/>
      <c r="C310" s="7"/>
      <c r="D310" s="7"/>
      <c r="E310" s="7"/>
      <c r="F310" s="7"/>
      <c r="G310" s="7"/>
      <c r="H310" s="7"/>
      <c r="I310" s="7"/>
      <c r="J310" s="10"/>
      <c r="K310" s="7"/>
      <c r="L310" s="7"/>
      <c r="M310" s="7"/>
      <c r="N310" s="7"/>
      <c r="O310" s="7"/>
      <c r="P310" s="7"/>
      <c r="Q310" s="16"/>
      <c r="R310" s="16"/>
    </row>
    <row r="311" spans="1:18" ht="18" customHeight="1" x14ac:dyDescent="0.3">
      <c r="A311" s="11">
        <f>A301+1</f>
        <v>26</v>
      </c>
      <c r="B311" s="12" t="s">
        <v>177</v>
      </c>
      <c r="C311" s="12"/>
      <c r="D311" s="13"/>
      <c r="E311" s="12"/>
      <c r="F311" s="12" t="s">
        <v>178</v>
      </c>
      <c r="G311" s="43"/>
      <c r="H311" s="75"/>
      <c r="I311" s="75"/>
      <c r="J311" s="11">
        <v>0</v>
      </c>
      <c r="K311" s="11">
        <v>3</v>
      </c>
      <c r="L311" s="12"/>
      <c r="M311" s="43"/>
      <c r="N311" s="43"/>
      <c r="O311" s="43"/>
      <c r="P311" s="43"/>
      <c r="Q311" s="43"/>
      <c r="R311" s="43"/>
    </row>
    <row r="312" spans="1:18" ht="18" customHeight="1" x14ac:dyDescent="0.3">
      <c r="A312" s="43"/>
      <c r="B312" s="12" t="s">
        <v>179</v>
      </c>
      <c r="C312" s="43"/>
      <c r="D312" s="43"/>
      <c r="E312" s="43"/>
      <c r="F312" s="12" t="s">
        <v>180</v>
      </c>
      <c r="G312" s="43"/>
      <c r="H312" s="75"/>
      <c r="I312" s="75"/>
      <c r="J312" s="11"/>
      <c r="K312" s="11"/>
      <c r="L312" s="12"/>
      <c r="M312" s="43"/>
      <c r="N312" s="43"/>
      <c r="O312" s="43"/>
      <c r="P312" s="43"/>
      <c r="Q312" s="43"/>
      <c r="R312" s="43"/>
    </row>
    <row r="313" spans="1:18" ht="18" customHeight="1" x14ac:dyDescent="0.3">
      <c r="A313" s="43"/>
      <c r="B313" s="43"/>
      <c r="C313" s="43"/>
      <c r="D313" s="43"/>
      <c r="E313" s="43"/>
      <c r="F313" s="12"/>
      <c r="G313" s="43"/>
      <c r="H313" s="75"/>
      <c r="I313" s="75"/>
      <c r="J313" s="11"/>
      <c r="K313" s="11"/>
      <c r="L313" s="12"/>
      <c r="M313" s="43"/>
      <c r="N313" s="43"/>
      <c r="O313" s="43"/>
      <c r="P313" s="43"/>
      <c r="Q313" s="43"/>
      <c r="R313" s="43"/>
    </row>
    <row r="314" spans="1:18" ht="18" customHeight="1" x14ac:dyDescent="0.3">
      <c r="A314" s="43"/>
      <c r="B314" s="43"/>
      <c r="C314" s="43"/>
      <c r="D314" s="43"/>
      <c r="E314" s="43"/>
      <c r="F314" s="12"/>
      <c r="G314" s="43"/>
      <c r="H314" s="75"/>
      <c r="I314" s="75"/>
      <c r="J314" s="11"/>
      <c r="K314" s="11"/>
      <c r="L314" s="12"/>
      <c r="M314" s="43"/>
      <c r="N314" s="43"/>
      <c r="O314" s="43"/>
      <c r="P314" s="43"/>
      <c r="Q314" s="43"/>
      <c r="R314" s="43"/>
    </row>
    <row r="315" spans="1:18" ht="18" customHeight="1" x14ac:dyDescent="0.3">
      <c r="A315" s="7"/>
      <c r="B315" s="15"/>
      <c r="C315" s="7"/>
      <c r="D315" s="7"/>
      <c r="E315" s="7"/>
      <c r="F315" s="7"/>
      <c r="G315" s="7"/>
      <c r="H315" s="7"/>
      <c r="I315" s="7"/>
      <c r="J315" s="10"/>
      <c r="K315" s="7"/>
      <c r="L315" s="7"/>
      <c r="M315" s="7"/>
      <c r="N315" s="7"/>
      <c r="O315" s="7"/>
      <c r="P315" s="7"/>
      <c r="Q315" s="16"/>
      <c r="R315" s="16"/>
    </row>
    <row r="316" spans="1:18" ht="18" customHeight="1" x14ac:dyDescent="0.3">
      <c r="F316" s="17"/>
    </row>
    <row r="317" spans="1:18" ht="18" customHeight="1" x14ac:dyDescent="0.3">
      <c r="B317" s="2" t="s">
        <v>181</v>
      </c>
      <c r="F317" s="104">
        <f>N331</f>
        <v>1.5703655980099374E-3</v>
      </c>
    </row>
    <row r="318" spans="1:18" ht="18" customHeight="1" x14ac:dyDescent="0.3">
      <c r="B318" s="2" t="s">
        <v>182</v>
      </c>
      <c r="F318" s="104">
        <f>'[1]BS &amp; P&amp;L &amp; Stats'!B47</f>
        <v>0.14321979964407872</v>
      </c>
    </row>
    <row r="319" spans="1:18" ht="18" customHeight="1" x14ac:dyDescent="0.3">
      <c r="B319" s="2" t="s">
        <v>183</v>
      </c>
      <c r="F319" s="88" t="str">
        <f>IF(F317&gt;F318,"Yes","No")</f>
        <v>No</v>
      </c>
    </row>
    <row r="320" spans="1:18" ht="18" customHeight="1" x14ac:dyDescent="0.3">
      <c r="F320" s="17"/>
    </row>
    <row r="321" spans="1:18" ht="18" customHeight="1" x14ac:dyDescent="0.3">
      <c r="B321" s="66" t="s">
        <v>184</v>
      </c>
      <c r="C321" s="67"/>
      <c r="D321" s="67"/>
      <c r="E321" s="27">
        <f>'[1]Data Sheet'!$B$16</f>
        <v>42825</v>
      </c>
      <c r="F321" s="27">
        <f>'[1]Data Sheet'!$C$16</f>
        <v>43190</v>
      </c>
      <c r="G321" s="27">
        <f>'[1]Data Sheet'!$D$16</f>
        <v>43555</v>
      </c>
      <c r="H321" s="27">
        <f>'[1]Data Sheet'!$E$16</f>
        <v>43921</v>
      </c>
      <c r="I321" s="27">
        <f>'[1]Data Sheet'!$F$16</f>
        <v>44286</v>
      </c>
      <c r="J321" s="29">
        <f>'[1]Data Sheet'!$G$16</f>
        <v>44651</v>
      </c>
      <c r="K321" s="27">
        <f>'[1]Data Sheet'!$H$16</f>
        <v>45016</v>
      </c>
      <c r="L321" s="27">
        <f>'[1]Data Sheet'!$I$16</f>
        <v>45382</v>
      </c>
      <c r="M321" s="27">
        <f>'[1]Data Sheet'!$J$16</f>
        <v>45747</v>
      </c>
      <c r="N321" s="27">
        <f>'[1]Data Sheet'!$K$16</f>
        <v>46112</v>
      </c>
    </row>
    <row r="322" spans="1:18" ht="18" customHeight="1" x14ac:dyDescent="0.3">
      <c r="B322" s="68" t="s">
        <v>185</v>
      </c>
      <c r="E322" s="105">
        <f>'[1]BS &amp; P&amp;L &amp; Stats'!B25</f>
        <v>6.3358751168980654E-2</v>
      </c>
      <c r="F322" s="105">
        <f>'[1]BS &amp; P&amp;L &amp; Stats'!C25</f>
        <v>8.6385942474246871E-2</v>
      </c>
      <c r="G322" s="105">
        <f>'[1]BS &amp; P&amp;L &amp; Stats'!D25</f>
        <v>9.0128248994183369E-2</v>
      </c>
      <c r="H322" s="105">
        <f>'[1]BS &amp; P&amp;L &amp; Stats'!E25</f>
        <v>5.4960041458691322E-2</v>
      </c>
      <c r="I322" s="105">
        <f>'[1]BS &amp; P&amp;L &amp; Stats'!F25</f>
        <v>9.9086912411227593E-2</v>
      </c>
      <c r="J322" s="106">
        <f>'[1]BS &amp; P&amp;L &amp; Stats'!G25</f>
        <v>0.14118233803144065</v>
      </c>
      <c r="K322" s="105">
        <f>'[1]BS &amp; P&amp;L &amp; Stats'!H25</f>
        <v>2.4969872258375513E-2</v>
      </c>
      <c r="L322" s="105">
        <f>'[1]BS &amp; P&amp;L &amp; Stats'!I25</f>
        <v>5.0352559340822597E-2</v>
      </c>
      <c r="M322" s="105">
        <f>'[1]BS &amp; P&amp;L &amp; Stats'!J25</f>
        <v>2.0755342842249919E-2</v>
      </c>
      <c r="N322" s="105">
        <f>'[1]BS &amp; P&amp;L &amp; Stats'!K25</f>
        <v>0.12032134577020542</v>
      </c>
    </row>
    <row r="323" spans="1:18" ht="18" customHeight="1" x14ac:dyDescent="0.3">
      <c r="B323" s="68" t="s">
        <v>186</v>
      </c>
      <c r="C323" s="107"/>
      <c r="D323" s="108"/>
      <c r="E323" s="109">
        <f>'[1]BS &amp; P&amp;L &amp; Stats'!B6</f>
        <v>55604</v>
      </c>
      <c r="F323" s="109">
        <f>'[1]BS &amp; P&amp;L &amp; Stats'!C6</f>
        <v>71933</v>
      </c>
      <c r="G323" s="109">
        <f>'[1]BS &amp; P&amp;L &amp; Stats'!D6</f>
        <v>84757</v>
      </c>
      <c r="H323" s="109">
        <f>'[1]BS &amp; P&amp;L &amp; Stats'!E6</f>
        <v>73326</v>
      </c>
      <c r="I323" s="109">
        <f>'[1]BS &amp; P&amp;L &amp; Stats'!F6</f>
        <v>79839</v>
      </c>
      <c r="J323" s="110">
        <f>'[1]BS &amp; P&amp;L &amp; Stats'!G6</f>
        <v>146371</v>
      </c>
      <c r="K323" s="109">
        <f>'[1]BS &amp; P&amp;L &amp; Stats'!H6</f>
        <v>165960</v>
      </c>
      <c r="L323" s="109">
        <f>'[1]BS &amp; P&amp;L &amp; Stats'!I6</f>
        <v>175006</v>
      </c>
      <c r="M323" s="109">
        <f>'[1]BS &amp; P&amp;L &amp; Stats'!J6</f>
        <v>168824</v>
      </c>
      <c r="N323" s="109">
        <f>'[1]BS &amp; P&amp;L &amp; Stats'!K6</f>
        <v>185470</v>
      </c>
    </row>
    <row r="324" spans="1:18" ht="18" customHeight="1" x14ac:dyDescent="0.3">
      <c r="B324" s="68" t="s">
        <v>187</v>
      </c>
      <c r="C324" s="107"/>
      <c r="D324" s="108"/>
      <c r="E324" s="109">
        <f>'[1]BS &amp; P&amp;L &amp; Stats'!B101</f>
        <v>58730</v>
      </c>
      <c r="F324" s="109">
        <f>'[1]BS &amp; P&amp;L &amp; Stats'!C101</f>
        <v>57848</v>
      </c>
      <c r="G324" s="109">
        <f>'[1]BS &amp; P&amp;L &amp; Stats'!D101</f>
        <v>62644</v>
      </c>
      <c r="H324" s="109">
        <f>'[1]BS &amp; P&amp;L &amp; Stats'!E101</f>
        <v>62085</v>
      </c>
      <c r="I324" s="109">
        <f>'[1]BS &amp; P&amp;L &amp; Stats'!F101</f>
        <v>64917</v>
      </c>
      <c r="J324" s="110">
        <f>'[1]BS &amp; P&amp;L &amp; Stats'!G101</f>
        <v>99880</v>
      </c>
      <c r="K324" s="109">
        <f>'[1]BS &amp; P&amp;L &amp; Stats'!H101</f>
        <v>104452</v>
      </c>
      <c r="L324" s="109">
        <f>'[1]BS &amp; P&amp;L &amp; Stats'!I101</f>
        <v>112461</v>
      </c>
      <c r="M324" s="109">
        <f>'[1]BS &amp; P&amp;L &amp; Stats'!J101</f>
        <v>124466</v>
      </c>
      <c r="N324" s="109">
        <f>'[1]BS &amp; P&amp;L &amp; Stats'!K101</f>
        <v>117129</v>
      </c>
    </row>
    <row r="325" spans="1:18" ht="18" customHeight="1" x14ac:dyDescent="0.3">
      <c r="B325" s="68" t="s">
        <v>70</v>
      </c>
      <c r="C325" s="107"/>
      <c r="D325" s="108"/>
      <c r="E325" s="109"/>
      <c r="F325" s="111">
        <f>F323/AVERAGE(E324:F324)</f>
        <v>1.2340750398874574</v>
      </c>
      <c r="G325" s="111">
        <f t="shared" ref="G325:N325" si="20">G323/AVERAGE(F324:G324)</f>
        <v>1.4068485874580885</v>
      </c>
      <c r="H325" s="111">
        <f t="shared" si="20"/>
        <v>1.1757650586471471</v>
      </c>
      <c r="I325" s="111">
        <f t="shared" si="20"/>
        <v>1.257287286814381</v>
      </c>
      <c r="J325" s="112">
        <f t="shared" si="20"/>
        <v>1.7763794243827253</v>
      </c>
      <c r="K325" s="111">
        <f t="shared" si="20"/>
        <v>1.6244151674725447</v>
      </c>
      <c r="L325" s="111">
        <f t="shared" si="20"/>
        <v>1.6136054547214782</v>
      </c>
      <c r="M325" s="111">
        <f t="shared" si="20"/>
        <v>1.4251140646697085</v>
      </c>
      <c r="N325" s="111">
        <f t="shared" si="20"/>
        <v>1.5353794573563195</v>
      </c>
    </row>
    <row r="326" spans="1:18" ht="18" customHeight="1" x14ac:dyDescent="0.3">
      <c r="B326" s="68" t="s">
        <v>188</v>
      </c>
      <c r="C326" s="107"/>
      <c r="D326" s="108"/>
      <c r="E326" s="109">
        <f>'[1]BS &amp; P&amp;L &amp; Stats'!B17</f>
        <v>3430</v>
      </c>
      <c r="F326" s="109">
        <f>'[1]BS &amp; P&amp;L &amp; Stats'!C17</f>
        <v>3387</v>
      </c>
      <c r="G326" s="109">
        <f>'[1]BS &amp; P&amp;L &amp; Stats'!D17</f>
        <v>4041</v>
      </c>
      <c r="H326" s="109">
        <f>'[1]BS &amp; P&amp;L &amp; Stats'!E17</f>
        <v>4246</v>
      </c>
      <c r="I326" s="109">
        <f>'[1]BS &amp; P&amp;L &amp; Stats'!F17</f>
        <v>4679</v>
      </c>
      <c r="J326" s="110">
        <f>'[1]BS &amp; P&amp;L &amp; Stats'!G17</f>
        <v>6001</v>
      </c>
      <c r="K326" s="109">
        <f>'[1]BS &amp; P&amp;L &amp; Stats'!H17</f>
        <v>7474</v>
      </c>
      <c r="L326" s="109">
        <f>'[1]BS &amp; P&amp;L &amp; Stats'!I17</f>
        <v>8172</v>
      </c>
      <c r="M326" s="109">
        <f>'[1]BS &amp; P&amp;L &amp; Stats'!J17</f>
        <v>9309</v>
      </c>
      <c r="N326" s="109">
        <f>'[1]BS &amp; P&amp;L &amp; Stats'!K17</f>
        <v>9601</v>
      </c>
    </row>
    <row r="327" spans="1:18" ht="18" customHeight="1" x14ac:dyDescent="0.3">
      <c r="B327" s="68" t="s">
        <v>189</v>
      </c>
      <c r="C327" s="107"/>
      <c r="D327" s="108"/>
      <c r="E327" s="113">
        <f>E326/E324</f>
        <v>5.8402860548271755E-2</v>
      </c>
      <c r="F327" s="113">
        <f t="shared" ref="F327:N327" si="21">F326/F324</f>
        <v>5.8549993085327066E-2</v>
      </c>
      <c r="G327" s="113">
        <f t="shared" si="21"/>
        <v>6.4507375007981607E-2</v>
      </c>
      <c r="H327" s="113">
        <f t="shared" si="21"/>
        <v>6.8390110332608514E-2</v>
      </c>
      <c r="I327" s="113">
        <f t="shared" si="21"/>
        <v>7.2076651724509763E-2</v>
      </c>
      <c r="J327" s="114">
        <f t="shared" si="21"/>
        <v>6.0082098518221869E-2</v>
      </c>
      <c r="K327" s="113">
        <f t="shared" si="21"/>
        <v>7.1554398192471183E-2</v>
      </c>
      <c r="L327" s="113">
        <f t="shared" si="21"/>
        <v>7.2665190599407792E-2</v>
      </c>
      <c r="M327" s="113">
        <f t="shared" si="21"/>
        <v>7.4791509327848574E-2</v>
      </c>
      <c r="N327" s="113">
        <f t="shared" si="21"/>
        <v>8.1969452484013355E-2</v>
      </c>
    </row>
    <row r="328" spans="1:18" ht="18" customHeight="1" x14ac:dyDescent="0.3">
      <c r="B328" s="68" t="s">
        <v>148</v>
      </c>
      <c r="C328" s="107"/>
      <c r="D328" s="108"/>
      <c r="E328" s="109">
        <f>'[1]BS &amp; P&amp;L &amp; Stats'!B24</f>
        <v>3523</v>
      </c>
      <c r="F328" s="109">
        <f>'[1]BS &amp; P&amp;L &amp; Stats'!C24</f>
        <v>6214</v>
      </c>
      <c r="G328" s="109">
        <f>'[1]BS &amp; P&amp;L &amp; Stats'!D24</f>
        <v>7639</v>
      </c>
      <c r="H328" s="109">
        <f>'[1]BS &amp; P&amp;L &amp; Stats'!E24</f>
        <v>4030</v>
      </c>
      <c r="I328" s="109">
        <f>'[1]BS &amp; P&amp;L &amp; Stats'!F24</f>
        <v>7911</v>
      </c>
      <c r="J328" s="110">
        <f>'[1]BS &amp; P&amp;L &amp; Stats'!G24</f>
        <v>20665</v>
      </c>
      <c r="K328" s="109">
        <f>'[1]BS &amp; P&amp;L &amp; Stats'!H24</f>
        <v>4144</v>
      </c>
      <c r="L328" s="109">
        <f>'[1]BS &amp; P&amp;L &amp; Stats'!I24</f>
        <v>8812</v>
      </c>
      <c r="M328" s="109">
        <f>'[1]BS &amp; P&amp;L &amp; Stats'!J24</f>
        <v>3504</v>
      </c>
      <c r="N328" s="109">
        <f>'[1]BS &amp; P&amp;L &amp; Stats'!K24</f>
        <v>22316</v>
      </c>
    </row>
    <row r="329" spans="1:18" ht="18" customHeight="1" x14ac:dyDescent="0.3">
      <c r="B329" s="68" t="s">
        <v>190</v>
      </c>
      <c r="C329" s="107"/>
      <c r="D329" s="108"/>
      <c r="E329" s="109">
        <f>'[1]BS &amp; P&amp;L &amp; Stats'!B26</f>
        <v>677.25</v>
      </c>
      <c r="F329" s="109">
        <f>'[1]BS &amp; P&amp;L &amp; Stats'!C26</f>
        <v>966.4</v>
      </c>
      <c r="G329" s="109">
        <f>'[1]BS &amp; P&amp;L &amp; Stats'!D26</f>
        <v>1234.0999999999999</v>
      </c>
      <c r="H329" s="109">
        <f>'[1]BS &amp; P&amp;L &amp; Stats'!E26</f>
        <v>602</v>
      </c>
      <c r="I329" s="109">
        <f>'[1]BS &amp; P&amp;L &amp; Stats'!F26</f>
        <v>1963</v>
      </c>
      <c r="J329" s="110">
        <f>'[1]BS &amp; P&amp;L &amp; Stats'!G26</f>
        <v>5222.3500000000004</v>
      </c>
      <c r="K329" s="109">
        <f>'[1]BS &amp; P&amp;L &amp; Stats'!H26</f>
        <v>1023.4</v>
      </c>
      <c r="L329" s="109">
        <f>'[1]BS &amp; P&amp;L &amp; Stats'!I26</f>
        <v>2226.5</v>
      </c>
      <c r="M329" s="109">
        <f>'[1]BS &amp; P&amp;L &amp; Stats'!J26</f>
        <v>854</v>
      </c>
      <c r="N329" s="109">
        <f>'[1]BS &amp; P&amp;L &amp; Stats'!K26</f>
        <v>2165.5</v>
      </c>
    </row>
    <row r="330" spans="1:18" ht="18" customHeight="1" x14ac:dyDescent="0.3">
      <c r="B330" s="68" t="s">
        <v>191</v>
      </c>
      <c r="C330" s="107"/>
      <c r="D330" s="108"/>
      <c r="E330" s="113">
        <f>E329/E328</f>
        <v>0.19223673005960829</v>
      </c>
      <c r="F330" s="113">
        <f t="shared" ref="F330:N330" si="22">F329/F328</f>
        <v>0.15551979401351787</v>
      </c>
      <c r="G330" s="113">
        <f t="shared" si="22"/>
        <v>0.16155255923550202</v>
      </c>
      <c r="H330" s="113">
        <f t="shared" si="22"/>
        <v>0.14937965260545905</v>
      </c>
      <c r="I330" s="113">
        <f t="shared" si="22"/>
        <v>0.24813550752117305</v>
      </c>
      <c r="J330" s="114">
        <f t="shared" si="22"/>
        <v>0.25271473505927899</v>
      </c>
      <c r="K330" s="113">
        <f t="shared" si="22"/>
        <v>0.24695945945945946</v>
      </c>
      <c r="L330" s="113">
        <f t="shared" si="22"/>
        <v>0.25266681797548796</v>
      </c>
      <c r="M330" s="113">
        <f t="shared" si="22"/>
        <v>0.24372146118721461</v>
      </c>
      <c r="N330" s="113">
        <f t="shared" si="22"/>
        <v>9.7037999641512815E-2</v>
      </c>
    </row>
    <row r="331" spans="1:18" ht="18" customHeight="1" x14ac:dyDescent="0.3">
      <c r="B331" s="115" t="s">
        <v>184</v>
      </c>
      <c r="C331" s="116"/>
      <c r="D331" s="117"/>
      <c r="E331" s="118"/>
      <c r="F331" s="118"/>
      <c r="G331" s="118"/>
      <c r="H331" s="119">
        <f>((1-AVERAGE(F327:H327))+AVERAGE(F325:H325)*AVERAGE(F322:H322)*(1-AVERAGE(F330:H330)))-1</f>
        <v>1.9084218165783096E-2</v>
      </c>
      <c r="I331" s="119">
        <f>((1-AVERAGE(G327:I327))+AVERAGE(G325:I325)*AVERAGE(G322:I322)*(1-AVERAGE(G330:I330)))-1</f>
        <v>1.6439697725022739E-2</v>
      </c>
      <c r="J331" s="120">
        <f>((1-AVERAGE(H327:J327))+AVERAGE(H325:J325)*AVERAGE(H322:J322)*(1-AVERAGE(H330:J330)))-1</f>
        <v>4.1304863734378028E-2</v>
      </c>
      <c r="K331" s="119">
        <f t="shared" ref="K331:N331" si="23">((1-AVERAGE(I327:K327))+AVERAGE(I325:K325)*AVERAGE(I322:K322)*(1-AVERAGE(I330:K330)))-1</f>
        <v>3.5154639964780188E-2</v>
      </c>
      <c r="L331" s="119">
        <f t="shared" si="23"/>
        <v>2.2275435162971924E-2</v>
      </c>
      <c r="M331" s="119">
        <f t="shared" si="23"/>
        <v>-3.5558015075613403E-2</v>
      </c>
      <c r="N331" s="119">
        <f t="shared" si="23"/>
        <v>1.5703655980099374E-3</v>
      </c>
    </row>
    <row r="332" spans="1:18" ht="18" customHeight="1" x14ac:dyDescent="0.3">
      <c r="B332" s="68"/>
      <c r="C332" s="107"/>
      <c r="D332" s="108"/>
      <c r="E332" s="113"/>
      <c r="F332" s="113"/>
      <c r="G332" s="113"/>
      <c r="H332" s="113"/>
      <c r="I332" s="113"/>
      <c r="J332" s="114"/>
      <c r="K332" s="113"/>
      <c r="L332" s="113"/>
      <c r="M332" s="113"/>
      <c r="N332" s="113"/>
      <c r="O332" s="113"/>
    </row>
    <row r="333" spans="1:18" ht="18" customHeight="1" x14ac:dyDescent="0.3">
      <c r="A333" s="7"/>
      <c r="B333" s="15"/>
      <c r="C333" s="7"/>
      <c r="D333" s="7"/>
      <c r="E333" s="7"/>
      <c r="F333" s="7"/>
      <c r="G333" s="7"/>
      <c r="H333" s="7"/>
      <c r="I333" s="7"/>
      <c r="J333" s="10"/>
      <c r="K333" s="7"/>
      <c r="L333" s="7"/>
      <c r="M333" s="7"/>
      <c r="N333" s="7"/>
      <c r="O333" s="7"/>
      <c r="P333" s="7"/>
      <c r="Q333" s="16"/>
      <c r="R333" s="16"/>
    </row>
    <row r="334" spans="1:18" ht="18" customHeight="1" x14ac:dyDescent="0.3">
      <c r="A334" s="11">
        <f>A311+1</f>
        <v>27</v>
      </c>
      <c r="B334" s="12" t="s">
        <v>177</v>
      </c>
      <c r="C334" s="12"/>
      <c r="D334" s="13"/>
      <c r="E334" s="12"/>
      <c r="F334" s="12" t="s">
        <v>192</v>
      </c>
      <c r="G334" s="43"/>
      <c r="H334" s="75"/>
      <c r="I334" s="75"/>
      <c r="J334" s="11">
        <v>3</v>
      </c>
      <c r="K334" s="11">
        <v>3</v>
      </c>
      <c r="L334" s="12"/>
      <c r="M334" s="43"/>
      <c r="N334" s="43"/>
      <c r="O334" s="43"/>
      <c r="P334" s="43"/>
      <c r="Q334" s="43"/>
      <c r="R334" s="43"/>
    </row>
    <row r="335" spans="1:18" ht="18" customHeight="1" x14ac:dyDescent="0.3">
      <c r="A335" s="43"/>
      <c r="B335" s="12" t="s">
        <v>179</v>
      </c>
      <c r="C335" s="43"/>
      <c r="D335" s="43"/>
      <c r="E335" s="43"/>
      <c r="F335" s="12"/>
      <c r="G335" s="43"/>
      <c r="H335" s="75"/>
      <c r="I335" s="75"/>
      <c r="J335" s="11"/>
      <c r="K335" s="11"/>
      <c r="L335" s="12"/>
      <c r="M335" s="43"/>
      <c r="N335" s="43"/>
      <c r="O335" s="43"/>
      <c r="P335" s="43"/>
      <c r="Q335" s="43"/>
      <c r="R335" s="43"/>
    </row>
    <row r="336" spans="1:18" ht="18" customHeight="1" x14ac:dyDescent="0.3">
      <c r="A336" s="43"/>
      <c r="B336" s="12"/>
      <c r="C336" s="43"/>
      <c r="D336" s="43"/>
      <c r="E336" s="43"/>
      <c r="F336" s="12"/>
      <c r="G336" s="43"/>
      <c r="H336" s="75"/>
      <c r="I336" s="75"/>
      <c r="J336" s="11"/>
      <c r="K336" s="11"/>
      <c r="L336" s="12"/>
      <c r="M336" s="43"/>
      <c r="N336" s="43"/>
      <c r="O336" s="43"/>
      <c r="P336" s="43"/>
      <c r="Q336" s="43"/>
      <c r="R336" s="43"/>
    </row>
    <row r="337" spans="1:18" ht="18" customHeight="1" x14ac:dyDescent="0.3">
      <c r="A337" s="43"/>
      <c r="B337" s="12"/>
      <c r="C337" s="43"/>
      <c r="D337" s="43"/>
      <c r="E337" s="43"/>
      <c r="F337" s="12"/>
      <c r="G337" s="43"/>
      <c r="H337" s="75"/>
      <c r="I337" s="75"/>
      <c r="J337" s="11"/>
      <c r="K337" s="11"/>
      <c r="L337" s="12"/>
      <c r="M337" s="43"/>
      <c r="N337" s="43"/>
      <c r="O337" s="43"/>
      <c r="P337" s="43"/>
      <c r="Q337" s="43"/>
      <c r="R337" s="43"/>
    </row>
    <row r="338" spans="1:18" ht="18" customHeight="1" x14ac:dyDescent="0.3">
      <c r="A338" s="7"/>
      <c r="B338" s="15"/>
      <c r="C338" s="7"/>
      <c r="D338" s="7"/>
      <c r="E338" s="7"/>
      <c r="F338" s="7"/>
      <c r="G338" s="7"/>
      <c r="H338" s="7"/>
      <c r="I338" s="7"/>
      <c r="J338" s="10"/>
      <c r="K338" s="7"/>
      <c r="L338" s="7"/>
      <c r="M338" s="7"/>
      <c r="N338" s="7"/>
      <c r="O338" s="7"/>
      <c r="P338" s="7"/>
      <c r="Q338" s="16"/>
      <c r="R338" s="16"/>
    </row>
    <row r="339" spans="1:18" ht="18" customHeight="1" x14ac:dyDescent="0.3">
      <c r="F339" s="17"/>
    </row>
    <row r="340" spans="1:18" ht="18" customHeight="1" x14ac:dyDescent="0.3">
      <c r="B340" s="2" t="s">
        <v>193</v>
      </c>
      <c r="F340" s="69">
        <f>O351</f>
        <v>174238</v>
      </c>
      <c r="H340" s="90" t="str">
        <f>IF(F340&lt;0,"Cumulative Cash Flow -ve","--")</f>
        <v>--</v>
      </c>
    </row>
    <row r="341" spans="1:18" ht="18" customHeight="1" x14ac:dyDescent="0.3">
      <c r="B341" s="2" t="s">
        <v>194</v>
      </c>
      <c r="F341" s="69">
        <f>O350</f>
        <v>133261</v>
      </c>
    </row>
    <row r="342" spans="1:18" ht="18" customHeight="1" x14ac:dyDescent="0.3">
      <c r="B342" s="2" t="s">
        <v>195</v>
      </c>
      <c r="F342" s="69">
        <f>F340-F341</f>
        <v>40977</v>
      </c>
      <c r="H342" s="90" t="str">
        <f>IF(F342&lt;0,"Free Cash Flow -ve","--")</f>
        <v>--</v>
      </c>
    </row>
    <row r="343" spans="1:18" ht="18" customHeight="1" x14ac:dyDescent="0.3">
      <c r="B343" s="2" t="s">
        <v>193</v>
      </c>
      <c r="F343" s="69">
        <f>F340</f>
        <v>174238</v>
      </c>
      <c r="H343" s="90" t="str">
        <f>IF(F343&lt;0,"Cumulative Cash Flow -ve","--")</f>
        <v>--</v>
      </c>
    </row>
    <row r="344" spans="1:18" ht="18" customHeight="1" x14ac:dyDescent="0.3">
      <c r="B344" s="2" t="s">
        <v>196</v>
      </c>
      <c r="F344" s="93">
        <f>F342/F343</f>
        <v>0.23517831931036859</v>
      </c>
    </row>
    <row r="346" spans="1:18" ht="18" customHeight="1" x14ac:dyDescent="0.3">
      <c r="B346" s="66" t="s">
        <v>197</v>
      </c>
      <c r="C346" s="67"/>
      <c r="D346" s="67"/>
      <c r="E346" s="27">
        <f>'[1]Data Sheet'!$B$16</f>
        <v>42825</v>
      </c>
      <c r="F346" s="27">
        <f>'[1]Data Sheet'!$C$16</f>
        <v>43190</v>
      </c>
      <c r="G346" s="27">
        <f>'[1]Data Sheet'!$D$16</f>
        <v>43555</v>
      </c>
      <c r="H346" s="27">
        <f>'[1]Data Sheet'!$E$16</f>
        <v>43921</v>
      </c>
      <c r="I346" s="27">
        <f>'[1]Data Sheet'!$F$16</f>
        <v>44286</v>
      </c>
      <c r="J346" s="29">
        <f>'[1]Data Sheet'!$G$16</f>
        <v>44651</v>
      </c>
      <c r="K346" s="27">
        <f>'[1]Data Sheet'!$H$16</f>
        <v>45016</v>
      </c>
      <c r="L346" s="27">
        <f>'[1]Data Sheet'!$I$16</f>
        <v>45382</v>
      </c>
      <c r="M346" s="27">
        <f>'[1]Data Sheet'!$J$16</f>
        <v>45747</v>
      </c>
      <c r="N346" s="27">
        <f>'[1]Data Sheet'!$K$16</f>
        <v>46112</v>
      </c>
      <c r="O346" s="27" t="s">
        <v>198</v>
      </c>
    </row>
    <row r="347" spans="1:18" ht="18" customHeight="1" x14ac:dyDescent="0.3">
      <c r="B347" s="68" t="s">
        <v>187</v>
      </c>
      <c r="E347" s="109">
        <f>'[1]BS &amp; P&amp;L &amp; Stats'!B101</f>
        <v>58730</v>
      </c>
      <c r="F347" s="109">
        <f>'[1]BS &amp; P&amp;L &amp; Stats'!C101</f>
        <v>57848</v>
      </c>
      <c r="G347" s="109">
        <f>'[1]BS &amp; P&amp;L &amp; Stats'!D101</f>
        <v>62644</v>
      </c>
      <c r="H347" s="109">
        <f>'[1]BS &amp; P&amp;L &amp; Stats'!E101</f>
        <v>62085</v>
      </c>
      <c r="I347" s="109">
        <f>'[1]BS &amp; P&amp;L &amp; Stats'!F101</f>
        <v>64917</v>
      </c>
      <c r="J347" s="110">
        <f>'[1]BS &amp; P&amp;L &amp; Stats'!G101</f>
        <v>99880</v>
      </c>
      <c r="K347" s="109">
        <f>'[1]BS &amp; P&amp;L &amp; Stats'!H101</f>
        <v>104452</v>
      </c>
      <c r="L347" s="109">
        <f>'[1]BS &amp; P&amp;L &amp; Stats'!I101</f>
        <v>112461</v>
      </c>
      <c r="M347" s="109">
        <f>'[1]BS &amp; P&amp;L &amp; Stats'!J101</f>
        <v>124466</v>
      </c>
      <c r="N347" s="109">
        <f>'[1]BS &amp; P&amp;L &amp; Stats'!K101</f>
        <v>117129</v>
      </c>
    </row>
    <row r="348" spans="1:18" ht="18" customHeight="1" x14ac:dyDescent="0.3">
      <c r="B348" s="68" t="s">
        <v>199</v>
      </c>
      <c r="C348" s="107"/>
      <c r="D348" s="108"/>
      <c r="E348" s="109">
        <f>'[1]BS &amp; P&amp;L &amp; Stats'!B102</f>
        <v>4363</v>
      </c>
      <c r="F348" s="109">
        <f>'[1]BS &amp; P&amp;L &amp; Stats'!C102</f>
        <v>5950</v>
      </c>
      <c r="G348" s="109">
        <f>'[1]BS &amp; P&amp;L &amp; Stats'!D102</f>
        <v>11889</v>
      </c>
      <c r="H348" s="109">
        <f>'[1]BS &amp; P&amp;L &amp; Stats'!E102</f>
        <v>27191</v>
      </c>
      <c r="I348" s="109">
        <f>'[1]BS &amp; P&amp;L &amp; Stats'!F102</f>
        <v>32566</v>
      </c>
      <c r="J348" s="110">
        <f>'[1]BS &amp; P&amp;L &amp; Stats'!G102</f>
        <v>16905</v>
      </c>
      <c r="K348" s="109">
        <f>'[1]BS &amp; P&amp;L &amp; Stats'!H102</f>
        <v>22166</v>
      </c>
      <c r="L348" s="109">
        <f>'[1]BS &amp; P&amp;L &amp; Stats'!I102</f>
        <v>29676</v>
      </c>
      <c r="M348" s="109">
        <f>'[1]BS &amp; P&amp;L &amp; Stats'!J102</f>
        <v>21007</v>
      </c>
      <c r="N348" s="109">
        <f>'[1]BS &amp; P&amp;L &amp; Stats'!K102</f>
        <v>22315</v>
      </c>
    </row>
    <row r="349" spans="1:18" ht="18" customHeight="1" x14ac:dyDescent="0.3">
      <c r="B349" s="68" t="s">
        <v>200</v>
      </c>
      <c r="C349" s="107"/>
      <c r="D349" s="108"/>
      <c r="E349" s="109">
        <f>'[1]BS &amp; P&amp;L &amp; Stats'!B17</f>
        <v>3430</v>
      </c>
      <c r="F349" s="109">
        <f>'[1]BS &amp; P&amp;L &amp; Stats'!C17</f>
        <v>3387</v>
      </c>
      <c r="G349" s="109">
        <f>'[1]BS &amp; P&amp;L &amp; Stats'!D17</f>
        <v>4041</v>
      </c>
      <c r="H349" s="109">
        <f>'[1]BS &amp; P&amp;L &amp; Stats'!E17</f>
        <v>4246</v>
      </c>
      <c r="I349" s="109">
        <f>'[1]BS &amp; P&amp;L &amp; Stats'!F17</f>
        <v>4679</v>
      </c>
      <c r="J349" s="110">
        <f>'[1]BS &amp; P&amp;L &amp; Stats'!G17</f>
        <v>6001</v>
      </c>
      <c r="K349" s="109">
        <f>'[1]BS &amp; P&amp;L &amp; Stats'!H17</f>
        <v>7474</v>
      </c>
      <c r="L349" s="109">
        <f>'[1]BS &amp; P&amp;L &amp; Stats'!I17</f>
        <v>8172</v>
      </c>
      <c r="M349" s="109">
        <f>'[1]BS &amp; P&amp;L &amp; Stats'!J17</f>
        <v>9309</v>
      </c>
      <c r="N349" s="109">
        <f>'[1]BS &amp; P&amp;L &amp; Stats'!K17</f>
        <v>9601</v>
      </c>
    </row>
    <row r="350" spans="1:18" ht="18" customHeight="1" x14ac:dyDescent="0.3">
      <c r="B350" s="68" t="s">
        <v>201</v>
      </c>
      <c r="C350" s="107"/>
      <c r="D350" s="108"/>
      <c r="E350" s="31"/>
      <c r="F350" s="31">
        <f>(F347+F348)-(E347+E348)+F349</f>
        <v>4092</v>
      </c>
      <c r="G350" s="31">
        <f t="shared" ref="G350:N350" si="24">(G347+G348)-(F347+F348)+G349</f>
        <v>14776</v>
      </c>
      <c r="H350" s="31">
        <f t="shared" si="24"/>
        <v>18989</v>
      </c>
      <c r="I350" s="31">
        <f t="shared" si="24"/>
        <v>12886</v>
      </c>
      <c r="J350" s="32">
        <f t="shared" si="24"/>
        <v>25303</v>
      </c>
      <c r="K350" s="31">
        <f t="shared" si="24"/>
        <v>17307</v>
      </c>
      <c r="L350" s="31">
        <f t="shared" si="24"/>
        <v>23691</v>
      </c>
      <c r="M350" s="31">
        <f t="shared" si="24"/>
        <v>12645</v>
      </c>
      <c r="N350" s="31">
        <f t="shared" si="24"/>
        <v>3572</v>
      </c>
      <c r="O350" s="121">
        <f>SUM(E350:N350)</f>
        <v>133261</v>
      </c>
    </row>
    <row r="351" spans="1:18" ht="18" customHeight="1" x14ac:dyDescent="0.3">
      <c r="B351" s="83" t="s">
        <v>202</v>
      </c>
      <c r="C351" s="107"/>
      <c r="D351" s="108"/>
      <c r="E351" s="31">
        <f>'[1]BS &amp; P&amp;L &amp; Stats'!B129</f>
        <v>7888</v>
      </c>
      <c r="F351" s="31">
        <f>'[1]BS &amp; P&amp;L &amp; Stats'!C129</f>
        <v>12379</v>
      </c>
      <c r="G351" s="31">
        <f>'[1]BS &amp; P&amp;L &amp; Stats'!D129</f>
        <v>14633</v>
      </c>
      <c r="H351" s="31">
        <f>'[1]BS &amp; P&amp;L &amp; Stats'!E129</f>
        <v>12785</v>
      </c>
      <c r="I351" s="31">
        <f>'[1]BS &amp; P&amp;L &amp; Stats'!F129</f>
        <v>18831</v>
      </c>
      <c r="J351" s="32">
        <f>'[1]BS &amp; P&amp;L &amp; Stats'!G129</f>
        <v>26270</v>
      </c>
      <c r="K351" s="31">
        <f>'[1]BS &amp; P&amp;L &amp; Stats'!H129</f>
        <v>23323</v>
      </c>
      <c r="L351" s="31">
        <f>'[1]BS &amp; P&amp;L &amp; Stats'!I129</f>
        <v>12078</v>
      </c>
      <c r="M351" s="31">
        <f>'[1]BS &amp; P&amp;L &amp; Stats'!J129</f>
        <v>20899</v>
      </c>
      <c r="N351" s="31">
        <f>'[1]BS &amp; P&amp;L &amp; Stats'!K129</f>
        <v>25152</v>
      </c>
      <c r="O351" s="121">
        <f>SUM(E351:N351)</f>
        <v>174238</v>
      </c>
    </row>
    <row r="352" spans="1:18" ht="18" customHeight="1" x14ac:dyDescent="0.3">
      <c r="B352" s="68"/>
      <c r="C352" s="107"/>
      <c r="D352" s="108"/>
      <c r="E352" s="109"/>
      <c r="F352" s="109"/>
      <c r="G352" s="109"/>
      <c r="H352" s="109"/>
      <c r="I352" s="109"/>
      <c r="J352" s="110"/>
      <c r="K352" s="109"/>
      <c r="L352" s="109"/>
      <c r="M352" s="109"/>
      <c r="N352" s="109"/>
      <c r="O352" s="109"/>
    </row>
    <row r="353" spans="1:18" ht="18" customHeight="1" x14ac:dyDescent="0.3">
      <c r="A353" s="7"/>
      <c r="B353" s="15"/>
      <c r="C353" s="7"/>
      <c r="D353" s="7"/>
      <c r="E353" s="7"/>
      <c r="F353" s="7"/>
      <c r="G353" s="7"/>
      <c r="H353" s="7"/>
      <c r="I353" s="7"/>
      <c r="J353" s="10"/>
      <c r="K353" s="7"/>
      <c r="L353" s="7"/>
      <c r="M353" s="7"/>
      <c r="N353" s="7"/>
      <c r="O353" s="7"/>
      <c r="P353" s="7"/>
      <c r="Q353" s="16"/>
      <c r="R353" s="16"/>
    </row>
    <row r="354" spans="1:18" ht="18" customHeight="1" x14ac:dyDescent="0.3">
      <c r="A354" s="11">
        <f>A334+1</f>
        <v>28</v>
      </c>
      <c r="B354" s="12" t="s">
        <v>203</v>
      </c>
      <c r="C354" s="12"/>
      <c r="D354" s="13"/>
      <c r="E354" s="12"/>
      <c r="F354" s="12" t="s">
        <v>204</v>
      </c>
      <c r="G354" s="43"/>
      <c r="H354" s="75"/>
      <c r="I354" s="75"/>
      <c r="J354" s="11">
        <v>1</v>
      </c>
      <c r="K354" s="11">
        <v>2</v>
      </c>
      <c r="L354" s="12"/>
      <c r="M354" s="43"/>
      <c r="N354" s="43"/>
      <c r="O354" s="43"/>
      <c r="P354" s="43"/>
      <c r="Q354" s="43"/>
      <c r="R354" s="43"/>
    </row>
    <row r="355" spans="1:18" ht="18" customHeight="1" x14ac:dyDescent="0.3">
      <c r="A355" s="43"/>
      <c r="B355" s="12" t="s">
        <v>205</v>
      </c>
      <c r="C355" s="43"/>
      <c r="D355" s="43"/>
      <c r="E355" s="43"/>
      <c r="F355" s="12" t="s">
        <v>206</v>
      </c>
      <c r="G355" s="43"/>
      <c r="H355" s="75"/>
      <c r="I355" s="75"/>
      <c r="J355" s="11"/>
      <c r="K355" s="11"/>
      <c r="L355" s="12"/>
      <c r="M355" s="43"/>
      <c r="N355" s="43"/>
      <c r="O355" s="43"/>
      <c r="P355" s="43"/>
      <c r="Q355" s="43"/>
      <c r="R355" s="43"/>
    </row>
    <row r="356" spans="1:18" ht="18" customHeight="1" x14ac:dyDescent="0.3">
      <c r="A356" s="43"/>
      <c r="B356" s="43"/>
      <c r="C356" s="43"/>
      <c r="D356" s="43"/>
      <c r="E356" s="43"/>
      <c r="F356" s="12" t="s">
        <v>207</v>
      </c>
      <c r="G356" s="43"/>
      <c r="H356" s="75"/>
      <c r="I356" s="75"/>
      <c r="J356" s="11"/>
      <c r="K356" s="11"/>
      <c r="L356" s="12"/>
      <c r="M356" s="43"/>
      <c r="N356" s="43"/>
      <c r="O356" s="43"/>
      <c r="P356" s="43"/>
      <c r="Q356" s="43"/>
      <c r="R356" s="43"/>
    </row>
    <row r="357" spans="1:18" ht="18" customHeight="1" x14ac:dyDescent="0.3">
      <c r="A357" s="43"/>
      <c r="B357" s="43"/>
      <c r="C357" s="43"/>
      <c r="D357" s="43"/>
      <c r="E357" s="43"/>
      <c r="F357" s="12" t="s">
        <v>208</v>
      </c>
      <c r="G357" s="43"/>
      <c r="H357" s="75"/>
      <c r="I357" s="75"/>
      <c r="J357" s="11"/>
      <c r="K357" s="11"/>
      <c r="L357" s="12"/>
      <c r="M357" s="43"/>
      <c r="N357" s="43"/>
      <c r="O357" s="43"/>
      <c r="P357" s="43"/>
      <c r="Q357" s="43"/>
      <c r="R357" s="43"/>
    </row>
    <row r="358" spans="1:18" ht="18" customHeight="1" x14ac:dyDescent="0.3">
      <c r="A358" s="43"/>
      <c r="B358" s="43"/>
      <c r="C358" s="43"/>
      <c r="D358" s="43"/>
      <c r="E358" s="43"/>
      <c r="F358" s="12"/>
      <c r="G358" s="43"/>
      <c r="H358" s="75"/>
      <c r="I358" s="75"/>
      <c r="J358" s="11"/>
      <c r="K358" s="11"/>
      <c r="L358" s="12"/>
      <c r="M358" s="43"/>
      <c r="N358" s="43"/>
      <c r="O358" s="43"/>
      <c r="P358" s="43"/>
      <c r="Q358" s="43"/>
      <c r="R358" s="43"/>
    </row>
    <row r="359" spans="1:18" ht="18" customHeight="1" x14ac:dyDescent="0.3">
      <c r="A359" s="43"/>
      <c r="B359" s="43"/>
      <c r="C359" s="43"/>
      <c r="D359" s="43"/>
      <c r="E359" s="43"/>
      <c r="F359" s="12" t="s">
        <v>209</v>
      </c>
      <c r="G359" s="43"/>
      <c r="H359" s="75"/>
      <c r="I359" s="75"/>
      <c r="J359" s="11"/>
      <c r="K359" s="11"/>
      <c r="L359" s="12"/>
      <c r="M359" s="43"/>
      <c r="N359" s="43"/>
      <c r="O359" s="43"/>
      <c r="P359" s="43"/>
      <c r="Q359" s="43"/>
      <c r="R359" s="43"/>
    </row>
    <row r="360" spans="1:18" ht="18" customHeight="1" x14ac:dyDescent="0.3">
      <c r="A360" s="43"/>
      <c r="B360" s="43"/>
      <c r="C360" s="43"/>
      <c r="D360" s="43"/>
      <c r="E360" s="43"/>
      <c r="F360" s="12"/>
      <c r="G360" s="43"/>
      <c r="H360" s="75"/>
      <c r="I360" s="75"/>
      <c r="J360" s="11"/>
      <c r="K360" s="11"/>
      <c r="L360" s="12"/>
      <c r="M360" s="43"/>
      <c r="N360" s="43"/>
      <c r="O360" s="43"/>
      <c r="P360" s="43"/>
      <c r="Q360" s="43"/>
      <c r="R360" s="43"/>
    </row>
    <row r="361" spans="1:18" ht="18" customHeight="1" x14ac:dyDescent="0.3">
      <c r="A361" s="43"/>
      <c r="B361" s="43"/>
      <c r="C361" s="43"/>
      <c r="D361" s="43"/>
      <c r="E361" s="43"/>
      <c r="F361" s="12"/>
      <c r="G361" s="43"/>
      <c r="H361" s="75"/>
      <c r="I361" s="75"/>
      <c r="J361" s="11"/>
      <c r="K361" s="11"/>
      <c r="L361" s="12"/>
      <c r="M361" s="43"/>
      <c r="N361" s="43"/>
      <c r="O361" s="43"/>
      <c r="P361" s="43"/>
      <c r="Q361" s="43"/>
      <c r="R361" s="43"/>
    </row>
    <row r="362" spans="1:18" ht="18" customHeight="1" x14ac:dyDescent="0.3">
      <c r="A362" s="7"/>
      <c r="B362" s="15"/>
      <c r="C362" s="7"/>
      <c r="D362" s="7"/>
      <c r="E362" s="7"/>
      <c r="F362" s="7"/>
      <c r="G362" s="7"/>
      <c r="H362" s="7"/>
      <c r="I362" s="7"/>
      <c r="J362" s="10"/>
      <c r="K362" s="7"/>
      <c r="L362" s="7"/>
      <c r="M362" s="7"/>
      <c r="N362" s="7"/>
      <c r="O362" s="7"/>
      <c r="P362" s="7"/>
      <c r="Q362" s="16"/>
      <c r="R362" s="16"/>
    </row>
    <row r="363" spans="1:18" ht="18" customHeight="1" x14ac:dyDescent="0.3">
      <c r="A363" s="11">
        <f>A354+1</f>
        <v>29</v>
      </c>
      <c r="B363" s="12" t="s">
        <v>210</v>
      </c>
      <c r="C363" s="12"/>
      <c r="D363" s="13"/>
      <c r="E363" s="12"/>
      <c r="F363" s="94" t="s">
        <v>211</v>
      </c>
      <c r="G363" s="12"/>
      <c r="H363" s="12"/>
      <c r="I363" s="122">
        <f>G374</f>
        <v>12.471488116854296</v>
      </c>
      <c r="J363" s="11">
        <v>1</v>
      </c>
      <c r="K363" s="11">
        <v>2</v>
      </c>
      <c r="L363" s="12"/>
      <c r="M363" s="12"/>
      <c r="N363" s="12"/>
      <c r="O363" s="12"/>
      <c r="P363" s="43"/>
      <c r="Q363" s="43"/>
      <c r="R363" s="43"/>
    </row>
    <row r="364" spans="1:18" ht="18" customHeight="1" x14ac:dyDescent="0.3">
      <c r="A364" s="11">
        <f>A363+1</f>
        <v>30</v>
      </c>
      <c r="B364" s="12" t="s">
        <v>212</v>
      </c>
      <c r="C364" s="12"/>
      <c r="D364" s="13"/>
      <c r="E364" s="12"/>
      <c r="F364" s="94" t="s">
        <v>213</v>
      </c>
      <c r="G364" s="43"/>
      <c r="H364" s="75"/>
      <c r="I364" s="122">
        <f t="shared" ref="I364:I368" si="25">G375</f>
        <v>2.9519492091992667</v>
      </c>
      <c r="J364" s="11">
        <v>0</v>
      </c>
      <c r="K364" s="11">
        <v>1</v>
      </c>
      <c r="L364" s="12"/>
      <c r="M364" s="43"/>
      <c r="N364" s="43"/>
      <c r="O364" s="43"/>
      <c r="P364" s="43"/>
      <c r="Q364" s="43"/>
      <c r="R364" s="43"/>
    </row>
    <row r="365" spans="1:18" ht="18" customHeight="1" x14ac:dyDescent="0.3">
      <c r="A365" s="11">
        <f t="shared" ref="A365:A368" si="26">A364+1</f>
        <v>31</v>
      </c>
      <c r="B365" s="12" t="s">
        <v>214</v>
      </c>
      <c r="C365" s="12"/>
      <c r="D365" s="13"/>
      <c r="E365" s="12"/>
      <c r="F365" s="94" t="s">
        <v>213</v>
      </c>
      <c r="G365" s="43"/>
      <c r="H365" s="75"/>
      <c r="I365" s="122">
        <f t="shared" si="25"/>
        <v>0.16566815868245638</v>
      </c>
      <c r="J365" s="11">
        <v>3</v>
      </c>
      <c r="K365" s="11">
        <v>3</v>
      </c>
      <c r="L365" s="12"/>
      <c r="M365" s="43"/>
      <c r="N365" s="43"/>
      <c r="O365" s="43"/>
      <c r="P365" s="43"/>
      <c r="Q365" s="43"/>
      <c r="R365" s="43"/>
    </row>
    <row r="366" spans="1:18" ht="18" customHeight="1" x14ac:dyDescent="0.3">
      <c r="A366" s="11">
        <f t="shared" si="26"/>
        <v>32</v>
      </c>
      <c r="B366" s="12" t="s">
        <v>215</v>
      </c>
      <c r="C366" s="12"/>
      <c r="D366" s="13"/>
      <c r="E366" s="12"/>
      <c r="F366" s="94" t="s">
        <v>216</v>
      </c>
      <c r="G366" s="43"/>
      <c r="H366" s="75"/>
      <c r="I366" s="123">
        <f t="shared" si="25"/>
        <v>8.0182893222547666E-2</v>
      </c>
      <c r="J366" s="11">
        <v>0</v>
      </c>
      <c r="K366" s="11">
        <v>2</v>
      </c>
      <c r="L366" s="12"/>
      <c r="M366" s="43"/>
      <c r="N366" s="43"/>
      <c r="O366" s="43"/>
      <c r="P366" s="43"/>
      <c r="Q366" s="43"/>
      <c r="R366" s="43"/>
    </row>
    <row r="367" spans="1:18" ht="18" customHeight="1" x14ac:dyDescent="0.3">
      <c r="A367" s="11">
        <f t="shared" si="26"/>
        <v>33</v>
      </c>
      <c r="B367" s="12" t="s">
        <v>217</v>
      </c>
      <c r="C367" s="12"/>
      <c r="D367" s="13"/>
      <c r="E367" s="12"/>
      <c r="F367" s="94" t="s">
        <v>218</v>
      </c>
      <c r="G367" s="43"/>
      <c r="H367" s="75"/>
      <c r="I367" s="122">
        <f t="shared" si="25"/>
        <v>1.6294257909081804</v>
      </c>
      <c r="J367" s="11">
        <v>0</v>
      </c>
      <c r="K367" s="11">
        <v>1</v>
      </c>
      <c r="L367" s="12"/>
      <c r="M367" s="43"/>
      <c r="N367" s="43"/>
      <c r="O367" s="43"/>
      <c r="P367" s="43"/>
      <c r="Q367" s="43"/>
      <c r="R367" s="43"/>
    </row>
    <row r="368" spans="1:18" ht="18" customHeight="1" x14ac:dyDescent="0.3">
      <c r="A368" s="11">
        <f t="shared" si="26"/>
        <v>34</v>
      </c>
      <c r="B368" s="12" t="s">
        <v>219</v>
      </c>
      <c r="C368" s="12"/>
      <c r="D368" s="13"/>
      <c r="E368" s="12"/>
      <c r="F368" s="94" t="s">
        <v>220</v>
      </c>
      <c r="G368" s="43"/>
      <c r="H368" s="75"/>
      <c r="I368" s="123">
        <f t="shared" si="25"/>
        <v>7.006123798676646E-3</v>
      </c>
      <c r="J368" s="11">
        <v>1</v>
      </c>
      <c r="K368" s="11">
        <v>1</v>
      </c>
      <c r="L368" s="12"/>
      <c r="M368" s="43"/>
      <c r="N368" s="43"/>
      <c r="O368" s="43"/>
      <c r="P368" s="43"/>
      <c r="Q368" s="43"/>
      <c r="R368" s="43"/>
    </row>
    <row r="369" spans="1:18" ht="18" customHeight="1" x14ac:dyDescent="0.3">
      <c r="A369" s="11"/>
      <c r="B369" s="12"/>
      <c r="C369" s="12"/>
      <c r="D369" s="13"/>
      <c r="E369" s="12"/>
      <c r="F369" s="94"/>
      <c r="G369" s="43"/>
      <c r="H369" s="75"/>
      <c r="I369" s="75"/>
      <c r="J369" s="11"/>
      <c r="K369" s="11"/>
      <c r="L369" s="12"/>
      <c r="M369" s="43"/>
      <c r="N369" s="43"/>
      <c r="O369" s="43"/>
      <c r="P369" s="43"/>
      <c r="Q369" s="43"/>
      <c r="R369" s="43"/>
    </row>
    <row r="370" spans="1:18" ht="18" customHeight="1" x14ac:dyDescent="0.3">
      <c r="A370" s="7"/>
      <c r="B370" s="15"/>
      <c r="C370" s="7"/>
      <c r="D370" s="7"/>
      <c r="E370" s="7"/>
      <c r="F370" s="7"/>
      <c r="G370" s="7"/>
      <c r="H370" s="7"/>
      <c r="I370" s="7"/>
      <c r="J370" s="10"/>
      <c r="K370" s="7"/>
      <c r="L370" s="7"/>
      <c r="M370" s="7"/>
      <c r="N370" s="7"/>
      <c r="O370" s="7"/>
      <c r="P370" s="7"/>
      <c r="Q370" s="16"/>
      <c r="R370" s="16"/>
    </row>
    <row r="372" spans="1:18" ht="18" customHeight="1" x14ac:dyDescent="0.3">
      <c r="B372" s="124" t="s">
        <v>221</v>
      </c>
      <c r="C372" s="125"/>
      <c r="D372" s="126">
        <f>'[1]Final Raw'!B316</f>
        <v>1263.9000000000001</v>
      </c>
      <c r="E372" s="127" t="s">
        <v>222</v>
      </c>
      <c r="F372" s="127"/>
      <c r="G372" s="127"/>
      <c r="H372" s="127"/>
      <c r="I372" s="128">
        <f>'[1]BS &amp; P&amp;L &amp; Stats'!L4</f>
        <v>309080.89</v>
      </c>
    </row>
    <row r="373" spans="1:18" ht="18" customHeight="1" x14ac:dyDescent="0.3">
      <c r="B373" s="66" t="s">
        <v>223</v>
      </c>
      <c r="C373" s="28"/>
      <c r="D373" s="28"/>
      <c r="E373" s="28"/>
      <c r="F373" s="28"/>
      <c r="G373" s="28" t="s">
        <v>224</v>
      </c>
      <c r="H373" s="28" t="s">
        <v>225</v>
      </c>
      <c r="I373" s="28"/>
    </row>
    <row r="374" spans="1:18" ht="18" customHeight="1" x14ac:dyDescent="0.3">
      <c r="B374" s="129" t="s">
        <v>226</v>
      </c>
      <c r="C374" s="89"/>
      <c r="D374" s="130">
        <f>'[1]Final Raw'!B303</f>
        <v>101.34315874397799</v>
      </c>
      <c r="E374" s="30" t="s">
        <v>210</v>
      </c>
      <c r="G374" s="131">
        <f>'[1]BS &amp; P&amp;L &amp; Stats'!J86</f>
        <v>12.471488116854296</v>
      </c>
      <c r="H374" s="131">
        <f>'[1]BS &amp; P&amp;L &amp; Stats'!K86</f>
        <v>10</v>
      </c>
      <c r="I374" s="89" t="str">
        <f>IF(G374&lt;=H374,"Yes","No")</f>
        <v>No</v>
      </c>
      <c r="L374" s="129"/>
      <c r="M374" s="89"/>
    </row>
    <row r="375" spans="1:18" ht="18" customHeight="1" x14ac:dyDescent="0.3">
      <c r="B375" s="129" t="s">
        <v>227</v>
      </c>
      <c r="C375" s="89"/>
      <c r="D375" s="130">
        <f>'[1]Final Raw'!B304</f>
        <v>428.15777319652472</v>
      </c>
      <c r="E375" s="30" t="s">
        <v>212</v>
      </c>
      <c r="G375" s="131">
        <f>'[1]BS &amp; P&amp;L &amp; Stats'!J87</f>
        <v>2.9519492091992667</v>
      </c>
      <c r="H375" s="131">
        <f>'[1]BS &amp; P&amp;L &amp; Stats'!K87</f>
        <v>1.5</v>
      </c>
      <c r="I375" s="89" t="str">
        <f>IF(G375&lt;=H375,"Yes","No")</f>
        <v>No</v>
      </c>
      <c r="L375" s="129"/>
      <c r="M375" s="89"/>
    </row>
    <row r="376" spans="1:18" ht="18" customHeight="1" x14ac:dyDescent="0.3">
      <c r="B376" s="2" t="s">
        <v>228</v>
      </c>
      <c r="D376" s="132">
        <f>N384</f>
        <v>75.27993439438751</v>
      </c>
      <c r="E376" s="30" t="s">
        <v>214</v>
      </c>
      <c r="G376" s="131">
        <f>N386</f>
        <v>0.16566815868245638</v>
      </c>
      <c r="H376" s="131">
        <f>'[1]BS &amp; P&amp;L &amp; Stats'!K88</f>
        <v>1</v>
      </c>
      <c r="I376" s="89" t="str">
        <f>IF(G376="N.A.","No",IF(G376&lt;=H376,"Yes","No"))</f>
        <v>Yes</v>
      </c>
      <c r="L376" s="129"/>
      <c r="M376" s="89"/>
    </row>
    <row r="377" spans="1:18" ht="18" customHeight="1" x14ac:dyDescent="0.3">
      <c r="B377" s="2" t="s">
        <v>229</v>
      </c>
      <c r="D377" s="133">
        <f>'[1]BS &amp; P&amp;L &amp; Stats'!K89</f>
        <v>6.5000000000000002E-2</v>
      </c>
      <c r="E377" s="30" t="s">
        <v>215</v>
      </c>
      <c r="G377" s="134">
        <f>'[1]BS &amp; P&amp;L &amp; Stats'!J89</f>
        <v>8.0182893222547666E-2</v>
      </c>
      <c r="H377" s="134">
        <f>'[1]BS &amp; P&amp;L &amp; Stats'!K89</f>
        <v>6.5000000000000002E-2</v>
      </c>
      <c r="I377" s="89" t="str">
        <f>IF(G377&gt;=H377,"Yes","No")</f>
        <v>Yes</v>
      </c>
      <c r="K377" s="133"/>
      <c r="L377" s="129"/>
      <c r="M377" s="89"/>
    </row>
    <row r="378" spans="1:18" ht="18" customHeight="1" x14ac:dyDescent="0.3">
      <c r="B378" s="129" t="s">
        <v>230</v>
      </c>
      <c r="C378" s="89"/>
      <c r="D378" s="135">
        <f>'[1]Final Raw'!B313</f>
        <v>189687</v>
      </c>
      <c r="E378" s="30" t="s">
        <v>231</v>
      </c>
      <c r="G378" s="136">
        <f>'[1]BS &amp; P&amp;L &amp; Stats'!J90</f>
        <v>1.6294257909081804</v>
      </c>
      <c r="H378" s="134" t="str">
        <f>'[1]BS &amp; P&amp;L &amp; Stats'!K90</f>
        <v>&lt; 1.5</v>
      </c>
      <c r="I378" s="89" t="str">
        <f>'[1]BS &amp; P&amp;L &amp; Stats'!L90</f>
        <v>No</v>
      </c>
      <c r="K378" s="133"/>
      <c r="L378" s="129"/>
      <c r="M378" s="89"/>
    </row>
    <row r="379" spans="1:18" ht="18" customHeight="1" x14ac:dyDescent="0.3">
      <c r="B379" s="30" t="s">
        <v>232</v>
      </c>
      <c r="C379" s="107"/>
      <c r="D379" s="130">
        <f>'[1]Final Raw'!B315</f>
        <v>8.8550398691474133</v>
      </c>
      <c r="E379" s="30" t="s">
        <v>219</v>
      </c>
      <c r="F379" s="137"/>
      <c r="G379" s="138">
        <f>'[1]Final Raw'!B326</f>
        <v>7.006123798676646E-3</v>
      </c>
      <c r="H379" s="139" t="s">
        <v>233</v>
      </c>
      <c r="I379" s="140" t="str">
        <f>IF(G379&gt;0,"Yes","No")</f>
        <v>Yes</v>
      </c>
      <c r="J379" s="89"/>
      <c r="K379" s="141"/>
      <c r="L379" s="129"/>
      <c r="M379" s="89"/>
    </row>
    <row r="380" spans="1:18" ht="18" customHeight="1" x14ac:dyDescent="0.3">
      <c r="B380" s="30"/>
      <c r="C380" s="107"/>
      <c r="D380" s="130"/>
      <c r="E380" s="30"/>
      <c r="F380" s="137"/>
      <c r="G380" s="138"/>
      <c r="H380" s="89"/>
      <c r="I380" s="89"/>
      <c r="J380" s="89"/>
      <c r="K380" s="141"/>
      <c r="L380" s="129"/>
      <c r="M380" s="89"/>
    </row>
    <row r="381" spans="1:18" ht="18" customHeight="1" x14ac:dyDescent="0.3">
      <c r="B381" s="66" t="s">
        <v>102</v>
      </c>
      <c r="C381" s="67"/>
      <c r="D381" s="67"/>
      <c r="E381" s="27">
        <f>'[1]Data Sheet'!$B$16</f>
        <v>42825</v>
      </c>
      <c r="F381" s="27">
        <f>'[1]Data Sheet'!$C$16</f>
        <v>43190</v>
      </c>
      <c r="G381" s="27">
        <f>'[1]Data Sheet'!$D$16</f>
        <v>43555</v>
      </c>
      <c r="H381" s="27">
        <f>'[1]Data Sheet'!$E$16</f>
        <v>43921</v>
      </c>
      <c r="I381" s="27">
        <f>'[1]Data Sheet'!$F$16</f>
        <v>44286</v>
      </c>
      <c r="J381" s="29">
        <f>'[1]Data Sheet'!$G$16</f>
        <v>44651</v>
      </c>
      <c r="K381" s="27">
        <f>'[1]Data Sheet'!$H$16</f>
        <v>45016</v>
      </c>
      <c r="L381" s="27">
        <f>'[1]Data Sheet'!$I$16</f>
        <v>45382</v>
      </c>
      <c r="M381" s="27">
        <f>'[1]Data Sheet'!$J$16</f>
        <v>45747</v>
      </c>
      <c r="N381" s="27">
        <f>'[1]Data Sheet'!$K$16</f>
        <v>46112</v>
      </c>
    </row>
    <row r="382" spans="1:18" ht="18" customHeight="1" x14ac:dyDescent="0.3">
      <c r="B382" s="68" t="s">
        <v>148</v>
      </c>
      <c r="E382" s="88">
        <f>'[1]BS &amp; P&amp;L &amp; Stats'!B24</f>
        <v>3523</v>
      </c>
      <c r="F382" s="88">
        <f>'[1]BS &amp; P&amp;L &amp; Stats'!C24</f>
        <v>6214</v>
      </c>
      <c r="G382" s="88">
        <f>'[1]BS &amp; P&amp;L &amp; Stats'!D24</f>
        <v>7639</v>
      </c>
      <c r="H382" s="88">
        <f>'[1]BS &amp; P&amp;L &amp; Stats'!E24</f>
        <v>4030</v>
      </c>
      <c r="I382" s="88">
        <f>'[1]BS &amp; P&amp;L &amp; Stats'!F24</f>
        <v>7911</v>
      </c>
      <c r="J382" s="89">
        <f>'[1]BS &amp; P&amp;L &amp; Stats'!G24</f>
        <v>20665</v>
      </c>
      <c r="K382" s="88">
        <f>'[1]BS &amp; P&amp;L &amp; Stats'!H24</f>
        <v>4144</v>
      </c>
      <c r="L382" s="88">
        <f>'[1]BS &amp; P&amp;L &amp; Stats'!I24</f>
        <v>8812</v>
      </c>
      <c r="M382" s="88">
        <f>'[1]BS &amp; P&amp;L &amp; Stats'!J24</f>
        <v>3504</v>
      </c>
      <c r="N382" s="88">
        <f>'[1]BS &amp; P&amp;L &amp; Stats'!K24</f>
        <v>22316</v>
      </c>
    </row>
    <row r="383" spans="1:18" ht="18" customHeight="1" x14ac:dyDescent="0.3">
      <c r="B383" s="68" t="s">
        <v>234</v>
      </c>
      <c r="E383" s="69"/>
      <c r="F383" s="101">
        <f>IF(AND(F382&gt;0,E382&gt;0),(F382-E382)/E382,"--")</f>
        <v>0.76383763837638374</v>
      </c>
      <c r="G383" s="101">
        <f t="shared" ref="G383:N383" si="27">IF(AND(G382&gt;0,F382&gt;0),(G382-F382)/F382,"--")</f>
        <v>0.22932088831670422</v>
      </c>
      <c r="H383" s="101">
        <f t="shared" si="27"/>
        <v>-0.47244403717764105</v>
      </c>
      <c r="I383" s="101">
        <f t="shared" si="27"/>
        <v>0.9630272952853598</v>
      </c>
      <c r="J383" s="70">
        <f t="shared" si="27"/>
        <v>1.6121855644039944</v>
      </c>
      <c r="K383" s="142">
        <f t="shared" si="27"/>
        <v>-0.79946769900798453</v>
      </c>
      <c r="L383" s="142">
        <f t="shared" si="27"/>
        <v>1.1264478764478765</v>
      </c>
      <c r="M383" s="142">
        <f t="shared" si="27"/>
        <v>-0.60236041761234682</v>
      </c>
      <c r="N383" s="142">
        <f t="shared" si="27"/>
        <v>5.3687214611872145</v>
      </c>
    </row>
    <row r="384" spans="1:18" ht="18" customHeight="1" x14ac:dyDescent="0.3">
      <c r="B384" s="68" t="s">
        <v>235</v>
      </c>
      <c r="C384" s="107"/>
      <c r="D384" s="108"/>
      <c r="E384" s="137"/>
      <c r="F384" s="137"/>
      <c r="G384" s="89"/>
      <c r="H384" s="89"/>
      <c r="I384" s="2"/>
      <c r="K384" s="57"/>
      <c r="N384" s="141">
        <f>'[1]BS &amp; P&amp;L &amp; Stats'!D49*100</f>
        <v>75.27993439438751</v>
      </c>
    </row>
    <row r="385" spans="2:14" ht="18" customHeight="1" x14ac:dyDescent="0.3">
      <c r="B385" s="68" t="s">
        <v>236</v>
      </c>
      <c r="C385" s="107"/>
      <c r="D385" s="108"/>
      <c r="E385" s="137"/>
      <c r="F385" s="137"/>
      <c r="G385" s="89"/>
      <c r="H385" s="89"/>
      <c r="I385" s="2"/>
      <c r="J385" s="143"/>
      <c r="K385" s="108"/>
      <c r="N385" s="144">
        <f>G374</f>
        <v>12.471488116854296</v>
      </c>
    </row>
    <row r="386" spans="2:14" ht="18" customHeight="1" x14ac:dyDescent="0.3">
      <c r="B386" s="68" t="s">
        <v>214</v>
      </c>
      <c r="C386" s="107"/>
      <c r="D386" s="108"/>
      <c r="E386" s="137"/>
      <c r="F386" s="137"/>
      <c r="G386" s="89"/>
      <c r="H386" s="89"/>
      <c r="I386" s="129"/>
      <c r="J386" s="89"/>
      <c r="K386" s="141"/>
      <c r="L386" s="129"/>
      <c r="M386" s="89"/>
      <c r="N386" s="141">
        <f>IFERROR(N385/N384,"N.A.")</f>
        <v>0.16566815868245638</v>
      </c>
    </row>
  </sheetData>
  <conditionalFormatting sqref="E12:H12 E14:H14 E36:G37">
    <cfRule type="cellIs" dxfId="51" priority="52" operator="greaterThan">
      <formula>0.15</formula>
    </cfRule>
    <cfRule type="cellIs" dxfId="52" priority="53" operator="lessThan">
      <formula>0.15</formula>
    </cfRule>
  </conditionalFormatting>
  <conditionalFormatting sqref="E102:N102">
    <cfRule type="cellIs" dxfId="49" priority="45" operator="lessThan">
      <formula>0.5</formula>
    </cfRule>
    <cfRule type="cellIs" dxfId="50" priority="46" operator="greaterThan">
      <formula>0.5</formula>
    </cfRule>
  </conditionalFormatting>
  <conditionalFormatting sqref="E118:N118">
    <cfRule type="cellIs" dxfId="48" priority="41" operator="lessThan">
      <formula>1.25</formula>
    </cfRule>
    <cfRule type="cellIs" dxfId="47" priority="42" operator="greaterThan">
      <formula>1.25</formula>
    </cfRule>
  </conditionalFormatting>
  <conditionalFormatting sqref="E45:O45 E47:O47 E52:N52 E54:N54">
    <cfRule type="expression" dxfId="46" priority="26">
      <formula>E45&gt;=0.08</formula>
    </cfRule>
    <cfRule type="cellIs" dxfId="45" priority="48" operator="lessThan">
      <formula>0.08</formula>
    </cfRule>
  </conditionalFormatting>
  <conditionalFormatting sqref="E69:O69">
    <cfRule type="cellIs" dxfId="44" priority="43" operator="greaterThan">
      <formula>0.3</formula>
    </cfRule>
    <cfRule type="cellIs" dxfId="43" priority="49" operator="lessThan">
      <formula>0.3</formula>
    </cfRule>
  </conditionalFormatting>
  <conditionalFormatting sqref="E84:O84">
    <cfRule type="cellIs" dxfId="42" priority="44" operator="greaterThan">
      <formula>3</formula>
    </cfRule>
    <cfRule type="cellIs" dxfId="41" priority="47" operator="lessThan">
      <formula>3</formula>
    </cfRule>
  </conditionalFormatting>
  <conditionalFormatting sqref="E186:O186 E216:H216 M216:P218 E218:H218 G233:I233 F277:N278 E278 F319 B372:D372 B374:D375 L374:M381 B378:D378 D379:D380 I374:I381 J379:K381 G379:H386 I386:M386">
    <cfRule type="cellIs" dxfId="40" priority="38" operator="equal">
      <formula>"Yes"</formula>
    </cfRule>
  </conditionalFormatting>
  <conditionalFormatting sqref="E187:O187">
    <cfRule type="cellIs" dxfId="39" priority="1" operator="lessThan">
      <formula>1</formula>
    </cfRule>
  </conditionalFormatting>
  <conditionalFormatting sqref="F344">
    <cfRule type="cellIs" dxfId="38" priority="33" operator="equal">
      <formula>"N.A."</formula>
    </cfRule>
    <cfRule type="cellIs" dxfId="37" priority="34" operator="equal">
      <formula>"Yes"</formula>
    </cfRule>
  </conditionalFormatting>
  <conditionalFormatting sqref="F180:G181 I376 N384 N386">
    <cfRule type="cellIs" dxfId="36" priority="27" operator="equal">
      <formula>"N.A."</formula>
    </cfRule>
  </conditionalFormatting>
  <conditionalFormatting sqref="F181:G181">
    <cfRule type="cellIs" dxfId="35" priority="2" operator="greaterThan">
      <formula>0.999999</formula>
    </cfRule>
    <cfRule type="cellIs" dxfId="34" priority="3" operator="lessThan">
      <formula>0.8</formula>
    </cfRule>
  </conditionalFormatting>
  <conditionalFormatting sqref="F82:N82">
    <cfRule type="expression" dxfId="32" priority="10">
      <formula>F82&lt;E82</formula>
    </cfRule>
    <cfRule type="expression" dxfId="33" priority="11">
      <formula>F82&gt;E82</formula>
    </cfRule>
  </conditionalFormatting>
  <conditionalFormatting sqref="F98:N98">
    <cfRule type="expression" dxfId="31" priority="8">
      <formula>F98&lt;E98</formula>
    </cfRule>
    <cfRule type="expression" dxfId="30" priority="9">
      <formula>F98&gt;E98</formula>
    </cfRule>
  </conditionalFormatting>
  <conditionalFormatting sqref="F100:N100">
    <cfRule type="expression" dxfId="29" priority="12">
      <formula>F100&lt;E100</formula>
    </cfRule>
    <cfRule type="expression" dxfId="28" priority="13">
      <formula>F100&gt;E100</formula>
    </cfRule>
  </conditionalFormatting>
  <conditionalFormatting sqref="F129:N130">
    <cfRule type="expression" dxfId="27" priority="6">
      <formula>F129&lt;E129</formula>
    </cfRule>
    <cfRule type="expression" dxfId="26" priority="7">
      <formula>F129&gt;E129</formula>
    </cfRule>
  </conditionalFormatting>
  <conditionalFormatting sqref="F142:N142">
    <cfRule type="expression" dxfId="24" priority="20">
      <formula>F142&lt;E142</formula>
    </cfRule>
    <cfRule type="expression" dxfId="25" priority="21">
      <formula>F142&gt;E142</formula>
    </cfRule>
  </conditionalFormatting>
  <conditionalFormatting sqref="F142:N143 F155:N156 F130:N130">
    <cfRule type="cellIs" dxfId="23" priority="22" operator="lessThan">
      <formula>1</formula>
    </cfRule>
  </conditionalFormatting>
  <conditionalFormatting sqref="F143:N143">
    <cfRule type="expression" dxfId="21" priority="18">
      <formula>F143&lt;E143</formula>
    </cfRule>
    <cfRule type="expression" dxfId="22" priority="19">
      <formula>F143&gt;E143</formula>
    </cfRule>
  </conditionalFormatting>
  <conditionalFormatting sqref="F155:N155">
    <cfRule type="expression" dxfId="19" priority="16">
      <formula>F155&lt;E155</formula>
    </cfRule>
    <cfRule type="expression" dxfId="20" priority="17">
      <formula>F155&gt;E155</formula>
    </cfRule>
  </conditionalFormatting>
  <conditionalFormatting sqref="F156:N156">
    <cfRule type="expression" dxfId="17" priority="14">
      <formula>F156&lt;E156</formula>
    </cfRule>
    <cfRule type="expression" dxfId="18" priority="15">
      <formula>F156&gt;E156</formula>
    </cfRule>
  </conditionalFormatting>
  <conditionalFormatting sqref="F277:N278 E278 E186:O186 E216:H216 M216:P218 E218:H218 G233:I233 F319 B372:D372 B374:D375 L374:M381 B378:D378 D379:D380 I374:I381 J379:K381 G379:H386 I386:M386">
    <cfRule type="cellIs" dxfId="16" priority="37" operator="equal">
      <formula>"No"</formula>
    </cfRule>
  </conditionalFormatting>
  <conditionalFormatting sqref="F277:N278 E278">
    <cfRule type="cellIs" dxfId="14" priority="23" operator="equal">
      <formula>"No"</formula>
    </cfRule>
    <cfRule type="cellIs" dxfId="15" priority="24" operator="equal">
      <formula>"Yes"</formula>
    </cfRule>
  </conditionalFormatting>
  <conditionalFormatting sqref="F350:N351">
    <cfRule type="expression" dxfId="13" priority="4">
      <formula>F350&lt;E350</formula>
    </cfRule>
    <cfRule type="expression" dxfId="12" priority="5">
      <formula>F350&gt;E350</formula>
    </cfRule>
  </conditionalFormatting>
  <conditionalFormatting sqref="F19:O19">
    <cfRule type="expression" dxfId="11" priority="31">
      <formula>F19&lt;E19</formula>
    </cfRule>
    <cfRule type="expression" dxfId="10" priority="32">
      <formula>F19&gt;E19</formula>
    </cfRule>
  </conditionalFormatting>
  <conditionalFormatting sqref="G38:G39">
    <cfRule type="cellIs" dxfId="9" priority="28" operator="greaterThan">
      <formula>0.1</formula>
    </cfRule>
  </conditionalFormatting>
  <conditionalFormatting sqref="G232:I232 F180:G181 E169:N169 E184:O186 E278:N278 I376 E382:N382 N384 N386">
    <cfRule type="cellIs" dxfId="8" priority="39" operator="lessThan">
      <formula>0</formula>
    </cfRule>
    <cfRule type="cellIs" dxfId="7" priority="40" operator="greaterThan">
      <formula>0</formula>
    </cfRule>
  </conditionalFormatting>
  <conditionalFormatting sqref="G232:I232">
    <cfRule type="expression" dxfId="6" priority="25">
      <formula>G232="N.A."</formula>
    </cfRule>
  </conditionalFormatting>
  <conditionalFormatting sqref="H331:N331">
    <cfRule type="expression" dxfId="5" priority="35">
      <formula>H331&lt;G331</formula>
    </cfRule>
    <cfRule type="expression" dxfId="4" priority="36">
      <formula>H331&gt;G331</formula>
    </cfRule>
  </conditionalFormatting>
  <conditionalFormatting sqref="I22:L22">
    <cfRule type="expression" dxfId="3" priority="29">
      <formula>I22&lt;E22</formula>
    </cfRule>
    <cfRule type="expression" dxfId="2" priority="30">
      <formula>I22&gt;E22</formula>
    </cfRule>
  </conditionalFormatting>
  <conditionalFormatting sqref="N12:O12 O15 M32:O32 E33:G33 M34:O34 O36 O38 E63:G63 E78:G78 F93:H93 E112:G112 E165:G165">
    <cfRule type="cellIs" dxfId="1" priority="50" operator="greaterThan">
      <formula>0.51</formula>
    </cfRule>
    <cfRule type="cellIs" dxfId="0" priority="51" operator="lessThan">
      <formula>0.51</formula>
    </cfRule>
  </conditionalFormatting>
  <hyperlinks>
    <hyperlink ref="P180" location="'Financials SJ'!A1" display="Financials SJ" xr:uid="{591F7AE1-940E-4241-BCBC-107E7B439A18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VM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Asian Markets</dc:creator>
  <cp:lastModifiedBy>Asian Markets</cp:lastModifiedBy>
  <dcterms:created xsi:type="dcterms:W3CDTF">2026-09-30T07:14:21Z</dcterms:created>
  <dcterms:modified xsi:type="dcterms:W3CDTF">2026-09-30T07:23:58Z</dcterms:modified>
</cp:coreProperties>
</file>